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William\Documents\GitHub\VBA-Excel-Seasonality-Forcasting\Excel\Excel .xlsm\"/>
    </mc:Choice>
  </mc:AlternateContent>
  <bookViews>
    <workbookView xWindow="0" yWindow="0" windowWidth="24000" windowHeight="10020" firstSheet="1" activeTab="8"/>
  </bookViews>
  <sheets>
    <sheet name="Chart1" sheetId="9" state="hidden" r:id="rId1"/>
    <sheet name="Cover" sheetId="8" r:id="rId2"/>
    <sheet name="Data" sheetId="2" r:id="rId3"/>
    <sheet name="Pivot" sheetId="10" state="hidden" r:id="rId4"/>
    <sheet name="Pivot(2)" sheetId="13" state="hidden" r:id="rId5"/>
    <sheet name="Event Corrected" sheetId="11" state="hidden" r:id="rId6"/>
    <sheet name="Seasonal Index" sheetId="12" state="hidden" r:id="rId7"/>
    <sheet name="Seasonally Smoothed" sheetId="14" state="hidden" r:id="rId8"/>
    <sheet name="Results" sheetId="16" r:id="rId9"/>
    <sheet name="Forecast Model" sheetId="15" r:id="rId10"/>
  </sheets>
  <functionGroups builtInGroupCount="18"/>
  <definedNames>
    <definedName name="_xlnm._FilterDatabase" localSheetId="2" hidden="1">Data!$A$1:$C$31</definedName>
    <definedName name="_GoBack" localSheetId="2">Data!#REF!</definedName>
  </definedNames>
  <calcPr calcId="162913"/>
  <pivotCaches>
    <pivotCache cacheId="3" r:id="rId11"/>
    <pivotCache cacheId="7" r:id="rId12"/>
  </pivotCaches>
</workbook>
</file>

<file path=xl/calcChain.xml><?xml version="1.0" encoding="utf-8"?>
<calcChain xmlns="http://schemas.openxmlformats.org/spreadsheetml/2006/main">
  <c r="A27" i="15" l="1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F27" i="15"/>
  <c r="E27" i="15"/>
  <c r="F26" i="15"/>
  <c r="E26" i="15"/>
  <c r="F25" i="15"/>
  <c r="E25" i="15"/>
  <c r="F24" i="15"/>
  <c r="E24" i="15"/>
  <c r="F23" i="15"/>
  <c r="E23" i="15"/>
  <c r="F22" i="15"/>
  <c r="E22" i="15"/>
  <c r="F21" i="15"/>
  <c r="E21" i="15"/>
  <c r="F20" i="15"/>
  <c r="E20" i="15"/>
  <c r="F19" i="15"/>
  <c r="E19" i="15"/>
  <c r="F18" i="15"/>
  <c r="E18" i="15"/>
  <c r="F17" i="15"/>
  <c r="E17" i="15"/>
  <c r="F16" i="15"/>
  <c r="E16" i="15"/>
  <c r="F15" i="15"/>
  <c r="E15" i="15"/>
  <c r="F14" i="15"/>
  <c r="E14" i="15"/>
  <c r="F13" i="15"/>
  <c r="E13" i="15"/>
  <c r="F12" i="15"/>
  <c r="F11" i="15"/>
  <c r="F10" i="15"/>
  <c r="F9" i="15"/>
  <c r="F8" i="15"/>
  <c r="F7" i="15"/>
  <c r="F6" i="15"/>
  <c r="F5" i="15"/>
  <c r="F4" i="15"/>
  <c r="F3" i="15"/>
  <c r="J4" i="8"/>
  <c r="J3" i="8"/>
  <c r="I4" i="8"/>
  <c r="I3" i="8"/>
  <c r="B5" i="12"/>
  <c r="C4" i="12"/>
  <c r="C7" i="11"/>
  <c r="B7" i="11"/>
  <c r="C6" i="11"/>
  <c r="B6" i="11"/>
  <c r="C5" i="11"/>
  <c r="B5" i="11"/>
  <c r="C4" i="11"/>
  <c r="B4" i="11"/>
  <c r="C3" i="11"/>
  <c r="C5" i="12" s="1"/>
  <c r="B3" i="11"/>
  <c r="B4" i="12" s="1"/>
  <c r="A26" i="14"/>
  <c r="A4" i="14"/>
  <c r="A9" i="14"/>
  <c r="A23" i="14"/>
  <c r="A15" i="14"/>
  <c r="A7" i="14"/>
  <c r="A20" i="14"/>
  <c r="A17" i="14"/>
  <c r="A22" i="14"/>
  <c r="A14" i="14"/>
  <c r="A6" i="14"/>
  <c r="A21" i="14"/>
  <c r="A13" i="14"/>
  <c r="A27" i="14"/>
  <c r="A19" i="14"/>
  <c r="A11" i="14"/>
  <c r="A3" i="14"/>
  <c r="A24" i="14"/>
  <c r="A16" i="14"/>
  <c r="A8" i="14"/>
  <c r="A5" i="14"/>
  <c r="A18" i="14"/>
  <c r="A10" i="14"/>
  <c r="A12" i="14"/>
  <c r="A25" i="14"/>
  <c r="C19" i="15"/>
  <c r="C8" i="15"/>
  <c r="B19" i="15"/>
  <c r="B21" i="15"/>
  <c r="C18" i="15"/>
  <c r="C10" i="15"/>
  <c r="C29" i="15"/>
  <c r="B18" i="15"/>
  <c r="B10" i="15"/>
  <c r="C7" i="15"/>
  <c r="B29" i="15"/>
  <c r="B28" i="15"/>
  <c r="B17" i="15"/>
  <c r="C28" i="15"/>
  <c r="C21" i="15"/>
  <c r="C5" i="15"/>
  <c r="C17" i="15"/>
  <c r="B8" i="15"/>
  <c r="B22" i="15"/>
  <c r="B6" i="15"/>
  <c r="C20" i="15"/>
  <c r="B9" i="15"/>
  <c r="B7" i="15"/>
  <c r="D34" i="2"/>
  <c r="D26" i="2"/>
  <c r="D18" i="2"/>
  <c r="D10" i="2"/>
  <c r="D2" i="2"/>
  <c r="D33" i="2"/>
  <c r="D25" i="2"/>
  <c r="D17" i="2"/>
  <c r="D9" i="2"/>
  <c r="D32" i="2"/>
  <c r="D24" i="2"/>
  <c r="D16" i="2"/>
  <c r="D8" i="2"/>
  <c r="D15" i="2"/>
  <c r="D7" i="2"/>
  <c r="D28" i="2"/>
  <c r="D4" i="2"/>
  <c r="D19" i="2"/>
  <c r="D3" i="2"/>
  <c r="D31" i="2"/>
  <c r="D23" i="2"/>
  <c r="D20" i="2"/>
  <c r="D35" i="2"/>
  <c r="D11" i="2"/>
  <c r="D30" i="2"/>
  <c r="D22" i="2"/>
  <c r="D14" i="2"/>
  <c r="D6" i="2"/>
  <c r="D29" i="2"/>
  <c r="D21" i="2"/>
  <c r="D13" i="2"/>
  <c r="D5" i="2"/>
  <c r="D36" i="2"/>
  <c r="D12" i="2"/>
  <c r="D27" i="2"/>
  <c r="C9" i="15"/>
  <c r="B20" i="15"/>
  <c r="B5" i="15"/>
  <c r="C6" i="15"/>
  <c r="C22" i="15"/>
  <c r="C25" i="14" l="1"/>
  <c r="C12" i="14"/>
  <c r="C10" i="14"/>
  <c r="B10" i="14"/>
  <c r="B18" i="14"/>
  <c r="C18" i="14"/>
  <c r="B5" i="14"/>
  <c r="C5" i="14"/>
  <c r="C8" i="14"/>
  <c r="B8" i="14"/>
  <c r="C3" i="14"/>
  <c r="C11" i="14"/>
  <c r="C19" i="14"/>
  <c r="B19" i="14"/>
  <c r="C13" i="14"/>
  <c r="C21" i="14"/>
  <c r="B21" i="14"/>
  <c r="B6" i="14"/>
  <c r="C6" i="14"/>
  <c r="C14" i="14"/>
  <c r="C22" i="14"/>
  <c r="B22" i="14"/>
  <c r="C17" i="14"/>
  <c r="B17" i="14"/>
  <c r="B20" i="14"/>
  <c r="C20" i="14"/>
  <c r="C7" i="14"/>
  <c r="B7" i="14"/>
  <c r="C15" i="14"/>
  <c r="B23" i="14"/>
  <c r="C9" i="14"/>
  <c r="B9" i="14"/>
  <c r="C26" i="14"/>
  <c r="B6" i="12"/>
  <c r="B14" i="14" s="1"/>
  <c r="C3" i="12"/>
  <c r="C24" i="14" s="1"/>
  <c r="C6" i="12"/>
  <c r="C27" i="14" s="1"/>
  <c r="B3" i="12"/>
  <c r="B24" i="14" s="1"/>
  <c r="C25" i="15"/>
  <c r="C12" i="15"/>
  <c r="C13" i="15"/>
  <c r="C23" i="15"/>
  <c r="C30" i="15"/>
  <c r="C24" i="15"/>
  <c r="C11" i="15"/>
  <c r="B4" i="15"/>
  <c r="B14" i="15"/>
  <c r="B16" i="15"/>
  <c r="B15" i="15"/>
  <c r="B3" i="15"/>
  <c r="B26" i="15"/>
  <c r="B27" i="15"/>
  <c r="B31" i="15"/>
  <c r="C14" i="15"/>
  <c r="C4" i="15"/>
  <c r="C15" i="15"/>
  <c r="C26" i="15"/>
  <c r="C16" i="15"/>
  <c r="C3" i="15"/>
  <c r="C27" i="15"/>
  <c r="C31" i="15"/>
  <c r="B12" i="15"/>
  <c r="B23" i="15"/>
  <c r="B24" i="15"/>
  <c r="B25" i="15"/>
  <c r="B11" i="15"/>
  <c r="B30" i="15"/>
  <c r="B13" i="15"/>
  <c r="A2" i="15" l="1"/>
  <c r="A1" i="15"/>
  <c r="B4" i="14"/>
  <c r="B27" i="14"/>
  <c r="C4" i="14"/>
  <c r="C16" i="14"/>
  <c r="B16" i="14"/>
  <c r="C23" i="14"/>
  <c r="B11" i="14"/>
  <c r="B12" i="14"/>
  <c r="B26" i="14"/>
  <c r="B15" i="14"/>
  <c r="B13" i="14"/>
  <c r="B3" i="14"/>
  <c r="B25" i="14"/>
</calcChain>
</file>

<file path=xl/sharedStrings.xml><?xml version="1.0" encoding="utf-8"?>
<sst xmlns="http://schemas.openxmlformats.org/spreadsheetml/2006/main" count="105" uniqueCount="36">
  <si>
    <t>Intercept</t>
  </si>
  <si>
    <t>Slope</t>
  </si>
  <si>
    <t>Periods to Forecast</t>
  </si>
  <si>
    <t>"Historical Periods" is the number of periods to display on the chart, all data will be used to calculate the forecast line</t>
  </si>
  <si>
    <t>Max History to Display</t>
  </si>
  <si>
    <t>Date</t>
  </si>
  <si>
    <t>"Cover" sheet Cells C2, F2, F5,  and F7 are static (Can't be moved)</t>
  </si>
  <si>
    <t>The number of Rows can not exceed 1048575</t>
  </si>
  <si>
    <t>Then number of Categories can not exceed 126</t>
  </si>
  <si>
    <t>●</t>
  </si>
  <si>
    <t xml:space="preserve">         on each date entry (or you will need to make your 0's  = 1*10^-20) </t>
  </si>
  <si>
    <t>"Dataset Has Values of '0' " is set to False by default if your data set has 0's then is must also have a value for every category</t>
  </si>
  <si>
    <t>Category</t>
  </si>
  <si>
    <t>Best fit trend line on De-seasonalized Data</t>
  </si>
  <si>
    <t>All week Calculations and groupings conform to ISO 8601 i.e. a year has 53 weeks every 5.6338 years (starting in 2004)</t>
  </si>
  <si>
    <t>Value</t>
  </si>
  <si>
    <t>SomeCat</t>
  </si>
  <si>
    <t>SomeOtherCat</t>
  </si>
  <si>
    <t>Note: the excel limitations that concern this tool are as follows:</t>
  </si>
  <si>
    <t>"Data" Sheet must start with three unique values, "Category, Date, Values" (the fourth Column is created at runtime)</t>
  </si>
  <si>
    <t>Season Delineation</t>
  </si>
  <si>
    <t>Seasonally</t>
  </si>
  <si>
    <t>Fall</t>
  </si>
  <si>
    <t>Spring</t>
  </si>
  <si>
    <t>Summer</t>
  </si>
  <si>
    <t>Winter</t>
  </si>
  <si>
    <t>Grand Total</t>
  </si>
  <si>
    <t>Sum of Value</t>
  </si>
  <si>
    <t>Count of Date</t>
  </si>
  <si>
    <t>Corrected for Events</t>
  </si>
  <si>
    <t>Seasonal Index</t>
  </si>
  <si>
    <t>Average of Value</t>
  </si>
  <si>
    <t>Seasonally Smoothed Data</t>
  </si>
  <si>
    <t xml:space="preserve"> Forecast</t>
  </si>
  <si>
    <t>SomeCat Forecast</t>
  </si>
  <si>
    <t>SomeOtherCat 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</si>
</sst>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m\-yy"/>
  </numFmts>
  <fonts count="6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5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4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0" fillId="0" borderId="3" xfId="0" applyBorder="1"/>
    <xf numFmtId="0" fontId="0" fillId="3" borderId="6" xfId="0" applyFill="1" applyBorder="1" applyAlignment="1">
      <alignment horizontal="center" vertical="center" wrapText="1"/>
    </xf>
    <xf numFmtId="0" fontId="2" fillId="2" borderId="1" xfId="2" applyFont="1" applyFill="1" applyBorder="1" applyAlignment="1">
      <alignment horizontal="center"/>
    </xf>
    <xf numFmtId="0" fontId="2" fillId="0" borderId="2" xfId="2" applyFont="1" applyFill="1" applyBorder="1" applyAlignment="1">
      <alignment wrapText="1"/>
    </xf>
    <xf numFmtId="0" fontId="0" fillId="0" borderId="0" xfId="0" applyAlignment="1">
      <alignment horizontal="right"/>
    </xf>
    <xf numFmtId="14" fontId="0" fillId="0" borderId="0" xfId="0" applyNumberFormat="1"/>
    <xf numFmtId="0" fontId="2" fillId="0" borderId="2" xfId="1" applyFont="1" applyFill="1" applyBorder="1" applyAlignment="1">
      <alignment wrapText="1"/>
    </xf>
    <xf numFmtId="164" fontId="2" fillId="0" borderId="2" xfId="1" applyNumberFormat="1" applyFont="1" applyFill="1" applyBorder="1" applyAlignment="1">
      <alignment horizontal="right" wrapText="1"/>
    </xf>
    <xf numFmtId="0" fontId="2" fillId="0" borderId="2" xfId="1" applyFont="1" applyFill="1" applyBorder="1" applyAlignment="1">
      <alignment horizontal="right" wrapText="1"/>
    </xf>
    <xf numFmtId="0" fontId="0" fillId="0" borderId="0" xfId="0" applyBorder="1"/>
    <xf numFmtId="0" fontId="3" fillId="0" borderId="0" xfId="0" applyFont="1" applyBorder="1"/>
    <xf numFmtId="0" fontId="0" fillId="0" borderId="0" xfId="0" pivotButton="1"/>
    <xf numFmtId="0" fontId="0" fillId="0" borderId="0" xfId="0" applyNumberFormat="1"/>
    <xf numFmtId="164" fontId="0" fillId="0" borderId="0" xfId="0" applyNumberFormat="1" applyAlignment="1">
      <alignment horizontal="left"/>
    </xf>
    <xf numFmtId="1" fontId="0" fillId="0" borderId="0" xfId="0" applyNumberFormat="1"/>
  </cellXfs>
  <cellStyles count="3">
    <cellStyle name="Normal" xfId="0" builtinId="0"/>
    <cellStyle name="Normal_Data" xfId="2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1.xml"/><Relationship Id="rId16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Cover!$H$3</c:f>
              <c:strCache>
                <c:ptCount val="1"/>
                <c:pt idx="0">
                  <c:v>Intercept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Cover!$I$1:$J$2</c:f>
              <c:strCache>
                <c:ptCount val="2"/>
                <c:pt idx="0">
                  <c:v>SomeCat</c:v>
                </c:pt>
                <c:pt idx="1">
                  <c:v>SomeOtherCat</c:v>
                </c:pt>
              </c:strCache>
            </c:strRef>
          </c:cat>
          <c:val>
            <c:numRef>
              <c:f>Cover!$I$3:$J$3</c:f>
              <c:numCache>
                <c:formatCode>General</c:formatCode>
                <c:ptCount val="2"/>
                <c:pt idx="0">
                  <c:v>-18.106466018589369</c:v>
                </c:pt>
                <c:pt idx="1">
                  <c:v>-83.414810822180726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3-49E2-A565-3C48E2B49E01}"/>
            </c:ext>
          </c:extLst>
        </c:ser>
        <c:ser>
          <c:idx val="1"/>
          <c:order val="1"/>
          <c:tx>
            <c:strRef>
              <c:f>Cover!$H$4</c:f>
              <c:strCache>
                <c:ptCount val="1"/>
                <c:pt idx="0">
                  <c:v>Slope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Cover!$I$1:$J$2</c:f>
              <c:strCache>
                <c:ptCount val="2"/>
                <c:pt idx="0">
                  <c:v>SomeCat</c:v>
                </c:pt>
                <c:pt idx="1">
                  <c:v>SomeOtherCat</c:v>
                </c:pt>
              </c:strCache>
            </c:strRef>
          </c:cat>
          <c:val>
            <c:numRef>
              <c:f>Cover!$I$4:$J$4</c:f>
              <c:numCache>
                <c:formatCode>General</c:formatCode>
                <c:ptCount val="2"/>
                <c:pt idx="0">
                  <c:v>5.4937966982652672E-4</c:v>
                </c:pt>
                <c:pt idx="1">
                  <c:v>2.3532195724765333E-3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F3-49E2-A565-3C48E2B49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0763832"/>
        <c:axId val="550766128"/>
      </c:barChart>
      <c:catAx>
        <c:axId val="55076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66128"/>
        <c:crosses val="autoZero"/>
        <c:auto val="1"/>
        <c:lblAlgn val="ctr"/>
        <c:lblOffset val="100"/>
        <c:noMultiLvlLbl val="0"/>
      </c:catAx>
      <c:valAx>
        <c:axId val="55076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6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Annual Seasonality Forecast with a Seasonal Deliniation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'Forecast Model'!$B$2</c:f>
              <c:strCache>
                <c:ptCount val="1"/>
                <c:pt idx="0">
                  <c:v>SomeCat Forecast</c:v>
                </c:pt>
              </c:strCache>
            </c:strRef>
          </c:tx>
          <c:xVal>
            <c:numRef>
              <c:f>'Forecast Model'!$A$3:$A$31</c:f>
              <c:numCache>
                <c:formatCode>m/d/yyyy</c:formatCode>
                <c:ptCount val="29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36982</c:v>
                </c:pt>
                <c:pt idx="26">
                  <c:v>37073</c:v>
                </c:pt>
                <c:pt idx="27">
                  <c:v>37165</c:v>
                </c:pt>
                <c:pt idx="28">
                  <c:v>37257</c:v>
                </c:pt>
              </c:numCache>
            </c:numRef>
          </c:xVal>
          <c:yVal>
            <c:numRef>
              <c:f>'Forecast Model'!$B$3:$B$31</c:f>
              <c:numCache>
                <c:formatCode>General</c:formatCode>
                <c:ptCount val="29"/>
                <c:pt idx="0">
                  <c:v>1.6636711917163383</c:v>
                </c:pt>
                <c:pt idx="1">
                  <c:v>1.6797730104028916</c:v>
                </c:pt>
                <c:pt idx="2">
                  <c:v>2.1287567394871232</c:v>
                </c:pt>
                <c:pt idx="3">
                  <c:v>2.1489872296317669</c:v>
                </c:pt>
                <c:pt idx="4">
                  <c:v>2.1685651233201306</c:v>
                </c:pt>
                <c:pt idx="5">
                  <c:v>2.1887956134647704</c:v>
                </c:pt>
                <c:pt idx="6">
                  <c:v>2.2083735071531345</c:v>
                </c:pt>
                <c:pt idx="7">
                  <c:v>2.2286039972977782</c:v>
                </c:pt>
                <c:pt idx="8">
                  <c:v>1.2850482785385233</c:v>
                </c:pt>
                <c:pt idx="9">
                  <c:v>1.2962356463604456</c:v>
                </c:pt>
                <c:pt idx="10">
                  <c:v>1.3077959264430992</c:v>
                </c:pt>
                <c:pt idx="11">
                  <c:v>1.8371553027262875</c:v>
                </c:pt>
                <c:pt idx="12">
                  <c:v>1.8532571214128373</c:v>
                </c:pt>
                <c:pt idx="13">
                  <c:v>1.8693589400993906</c:v>
                </c:pt>
                <c:pt idx="14">
                  <c:v>2.3676070424851572</c:v>
                </c:pt>
                <c:pt idx="15">
                  <c:v>2.3878375326298014</c:v>
                </c:pt>
                <c:pt idx="16">
                  <c:v>2.4074154263181651</c:v>
                </c:pt>
                <c:pt idx="17">
                  <c:v>2.4276459164628048</c:v>
                </c:pt>
                <c:pt idx="18">
                  <c:v>2.447223810151169</c:v>
                </c:pt>
                <c:pt idx="19">
                  <c:v>2.4674543002958127</c:v>
                </c:pt>
                <c:pt idx="20">
                  <c:v>1.4215341659659715</c:v>
                </c:pt>
                <c:pt idx="21">
                  <c:v>1.4327215337878936</c:v>
                </c:pt>
                <c:pt idx="22">
                  <c:v>1.4442818138705473</c:v>
                </c:pt>
                <c:pt idx="23">
                  <c:v>2.0272606459288052</c:v>
                </c:pt>
                <c:pt idx="24">
                  <c:v>2.0433624646153552</c:v>
                </c:pt>
                <c:pt idx="25">
                  <c:v>2.6260352391715558</c:v>
                </c:pt>
                <c:pt idx="26">
                  <c:v>2.6854215166929229</c:v>
                </c:pt>
                <c:pt idx="27">
                  <c:v>1.5688345089546127</c:v>
                </c:pt>
                <c:pt idx="28">
                  <c:v>2.2329483943118573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9-4699-BAAD-FBB36287B1CE}"/>
            </c:ext>
          </c:extLst>
        </c:ser>
        <c:ser>
          <c:idx val="1"/>
          <c:order val="1"/>
          <c:tx>
            <c:strRef>
              <c:f>'Forecast Model'!$C$2</c:f>
              <c:strCache>
                <c:ptCount val="1"/>
                <c:pt idx="0">
                  <c:v>SomeOtherCat Forecast</c:v>
                </c:pt>
              </c:strCache>
            </c:strRef>
          </c:tx>
          <c:xVal>
            <c:numRef>
              <c:f>'Forecast Model'!$A$3:$A$31</c:f>
              <c:numCache>
                <c:formatCode>m/d/yyyy</c:formatCode>
                <c:ptCount val="29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36982</c:v>
                </c:pt>
                <c:pt idx="26">
                  <c:v>37073</c:v>
                </c:pt>
                <c:pt idx="27">
                  <c:v>37165</c:v>
                </c:pt>
                <c:pt idx="28">
                  <c:v>37257</c:v>
                </c:pt>
              </c:numCache>
            </c:numRef>
          </c:xVal>
          <c:yVal>
            <c:numRef>
              <c:f>'Forecast Model'!$C$3:$C$31</c:f>
              <c:numCache>
                <c:formatCode>General</c:formatCode>
                <c:ptCount val="29"/>
                <c:pt idx="0">
                  <c:v>0.87650198511818933</c:v>
                </c:pt>
                <c:pt idx="1">
                  <c:v>0.91456275385563834</c:v>
                </c:pt>
                <c:pt idx="2">
                  <c:v>2.5305072597138301</c:v>
                </c:pt>
                <c:pt idx="3">
                  <c:v>2.6320026430136947</c:v>
                </c:pt>
                <c:pt idx="4">
                  <c:v>2.7302239816909721</c:v>
                </c:pt>
                <c:pt idx="5">
                  <c:v>2.1237895237431097</c:v>
                </c:pt>
                <c:pt idx="6">
                  <c:v>2.1974555277510825</c:v>
                </c:pt>
                <c:pt idx="7">
                  <c:v>2.2735770652259659</c:v>
                </c:pt>
                <c:pt idx="8">
                  <c:v>2.3496986027008639</c:v>
                </c:pt>
                <c:pt idx="9">
                  <c:v>2.4233646067088221</c:v>
                </c:pt>
                <c:pt idx="10">
                  <c:v>2.4994861441837202</c:v>
                </c:pt>
                <c:pt idx="11">
                  <c:v>1.2865760740958392</c:v>
                </c:pt>
                <c:pt idx="12">
                  <c:v>1.3246368428332882</c:v>
                </c:pt>
                <c:pt idx="13">
                  <c:v>1.3626976115707299</c:v>
                </c:pt>
                <c:pt idx="14">
                  <c:v>3.7288075915766625</c:v>
                </c:pt>
                <c:pt idx="15">
                  <c:v>3.8303029748765267</c:v>
                </c:pt>
                <c:pt idx="16">
                  <c:v>3.9285243135538046</c:v>
                </c:pt>
                <c:pt idx="17">
                  <c:v>3.022514772640247</c:v>
                </c:pt>
                <c:pt idx="18">
                  <c:v>3.0961807766482052</c:v>
                </c:pt>
                <c:pt idx="19">
                  <c:v>3.1723023141230886</c:v>
                </c:pt>
                <c:pt idx="20">
                  <c:v>3.2484238515979866</c:v>
                </c:pt>
                <c:pt idx="21">
                  <c:v>3.3220898556059448</c:v>
                </c:pt>
                <c:pt idx="22">
                  <c:v>3.3982113930808429</c:v>
                </c:pt>
                <c:pt idx="23">
                  <c:v>1.7359386985444005</c:v>
                </c:pt>
                <c:pt idx="24">
                  <c:v>1.7739994672818495</c:v>
                </c:pt>
                <c:pt idx="25">
                  <c:v>5.025329262116772</c:v>
                </c:pt>
                <c:pt idx="26">
                  <c:v>3.9924504920783885</c:v>
                </c:pt>
                <c:pt idx="27">
                  <c:v>4.2183595710361423</c:v>
                </c:pt>
                <c:pt idx="28">
                  <c:v>2.222134324996941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9-4699-BAAD-FBB36287B1CE}"/>
            </c:ext>
          </c:extLst>
        </c:ser>
        <c:ser>
          <c:idx val="2"/>
          <c:order val="2"/>
          <c:tx>
            <c:strRef>
              <c:f>'Forecast Model'!$D$2</c:f>
              <c:strCache>
                <c:ptCount val="1"/>
                <c:pt idx="0">
                  <c:v>SomeCat</c:v>
                </c:pt>
              </c:strCache>
            </c:strRef>
          </c:tx>
          <c:xVal>
            <c:numRef>
              <c:f>'Forecast Model'!$A$3:$A$31</c:f>
              <c:numCache>
                <c:formatCode>m/d/yyyy</c:formatCode>
                <c:ptCount val="29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36982</c:v>
                </c:pt>
                <c:pt idx="26">
                  <c:v>37073</c:v>
                </c:pt>
                <c:pt idx="27">
                  <c:v>37165</c:v>
                </c:pt>
                <c:pt idx="28">
                  <c:v>37257</c:v>
                </c:pt>
              </c:numCache>
            </c:numRef>
          </c:xVal>
          <c:yVal>
            <c:numRef>
              <c:f>'Forecast Model'!$D$3:$D$31</c:f>
              <c:numCache>
                <c:formatCode>General</c:formatCode>
                <c:ptCount val="2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5</c:v>
                </c:pt>
                <c:pt idx="2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9-4699-BAAD-FBB36287B1CE}"/>
            </c:ext>
          </c:extLst>
        </c:ser>
        <c:ser>
          <c:idx val="3"/>
          <c:order val="3"/>
          <c:tx>
            <c:strRef>
              <c:f>'Forecast Model'!$E$2</c:f>
              <c:strCache>
                <c:ptCount val="1"/>
                <c:pt idx="0">
                  <c:v>SomeOtherCat</c:v>
                </c:pt>
              </c:strCache>
            </c:strRef>
          </c:tx>
          <c:xVal>
            <c:numRef>
              <c:f>'Forecast Model'!$A$3:$A$31</c:f>
              <c:numCache>
                <c:formatCode>m/d/yyyy</c:formatCode>
                <c:ptCount val="29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36982</c:v>
                </c:pt>
                <c:pt idx="26">
                  <c:v>37073</c:v>
                </c:pt>
                <c:pt idx="27">
                  <c:v>37165</c:v>
                </c:pt>
                <c:pt idx="28">
                  <c:v>37257</c:v>
                </c:pt>
              </c:numCache>
            </c:numRef>
          </c:xVal>
          <c:yVal>
            <c:numRef>
              <c:f>'Forecast Model'!$E$3:$E$31</c:f>
              <c:numCache>
                <c:formatCode>General</c:formatCode>
                <c:ptCount val="2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9-4699-BAAD-FBB36287B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794752"/>
        <c:axId val="554794096"/>
      </c:scatterChart>
      <c:valAx>
        <c:axId val="554794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54794096"/>
        <c:crosses val="autoZero"/>
        <c:crossBetween val="midCat"/>
      </c:valAx>
      <c:valAx>
        <c:axId val="554794096"/>
        <c:scaling>
          <c:orientation val="minMax"/>
          <c:max val="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4794752"/>
        <c:crosses val="autoZero"/>
        <c:crossBetween val="midCat"/>
        <c:majorUnit val="1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9"/>
  <sheetViews>
    <sheetView tabSelected="1" zoomScale="7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fmlaLink="$C$2" lockText="1"/>
</file>

<file path=xl/ctrlProps/ctrlProp5.xml><?xml version="1.0" encoding="utf-8"?>
<formControlPr xmlns="http://schemas.microsoft.com/office/spreadsheetml/2009/9/main" objectType="Radio" checked="Checked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lockText="1"/>
</file>

<file path=xl/ctrlProps/ctrlProp10.xml><?xml version="1.0" encoding="utf-8"?>
<formControlPr xmlns="http://schemas.microsoft.com/office/spreadsheetml/2009/9/main" objectType="CheckBox" checked="Checked" fmlaLink="$D$2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93AED7-43C2-4A06-AFBC-DD21057327C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0</xdr:row>
          <xdr:rowOff>171450</xdr:rowOff>
        </xdr:from>
        <xdr:to>
          <xdr:col>3</xdr:col>
          <xdr:colOff>476250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</xdr:row>
          <xdr:rowOff>0</xdr:rowOff>
        </xdr:from>
        <xdr:to>
          <xdr:col>2</xdr:col>
          <xdr:colOff>38100</xdr:colOff>
          <xdr:row>5</xdr:row>
          <xdr:rowOff>114300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Calculation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3</xdr:row>
          <xdr:rowOff>0</xdr:rowOff>
        </xdr:from>
        <xdr:to>
          <xdr:col>3</xdr:col>
          <xdr:colOff>438150</xdr:colOff>
          <xdr:row>5</xdr:row>
          <xdr:rowOff>104775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 Calculation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</xdr:row>
          <xdr:rowOff>66675</xdr:rowOff>
        </xdr:from>
        <xdr:to>
          <xdr:col>4</xdr:col>
          <xdr:colOff>1200150</xdr:colOff>
          <xdr:row>3</xdr:row>
          <xdr:rowOff>9525</xdr:rowOff>
        </xdr:to>
        <xdr:sp macro="" textlink="">
          <xdr:nvSpPr>
            <xdr:cNvPr id="5135" name="Option 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Annual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47625</xdr:rowOff>
        </xdr:from>
        <xdr:to>
          <xdr:col>4</xdr:col>
          <xdr:colOff>1209675</xdr:colOff>
          <xdr:row>4</xdr:row>
          <xdr:rowOff>9525</xdr:rowOff>
        </xdr:to>
        <xdr:sp macro="" textlink="">
          <xdr:nvSpPr>
            <xdr:cNvPr id="5136" name="Option 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Seasonal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66675</xdr:rowOff>
        </xdr:from>
        <xdr:to>
          <xdr:col>5</xdr:col>
          <xdr:colOff>0</xdr:colOff>
          <xdr:row>5</xdr:row>
          <xdr:rowOff>9525</xdr:rowOff>
        </xdr:to>
        <xdr:sp macro="" textlink="">
          <xdr:nvSpPr>
            <xdr:cNvPr id="5137" name="Option 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0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Fiscal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5</xdr:row>
          <xdr:rowOff>57150</xdr:rowOff>
        </xdr:from>
        <xdr:to>
          <xdr:col>4</xdr:col>
          <xdr:colOff>1190625</xdr:colOff>
          <xdr:row>6</xdr:row>
          <xdr:rowOff>0</xdr:rowOff>
        </xdr:to>
        <xdr:sp macro="" textlink="">
          <xdr:nvSpPr>
            <xdr:cNvPr id="5138" name="Option 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Monthly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47625</xdr:rowOff>
        </xdr:from>
        <xdr:to>
          <xdr:col>4</xdr:col>
          <xdr:colOff>1200150</xdr:colOff>
          <xdr:row>6</xdr:row>
          <xdr:rowOff>266700</xdr:rowOff>
        </xdr:to>
        <xdr:sp macro="" textlink="">
          <xdr:nvSpPr>
            <xdr:cNvPr id="5139" name="Option 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Weekly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57150</xdr:rowOff>
        </xdr:from>
        <xdr:to>
          <xdr:col>4</xdr:col>
          <xdr:colOff>1190625</xdr:colOff>
          <xdr:row>8</xdr:row>
          <xdr:rowOff>0</xdr:rowOff>
        </xdr:to>
        <xdr:sp macro="" textlink="">
          <xdr:nvSpPr>
            <xdr:cNvPr id="5140" name="Option 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Daily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647700</xdr:colOff>
          <xdr:row>18</xdr:row>
          <xdr:rowOff>0</xdr:rowOff>
        </xdr:from>
        <xdr:to>
          <xdr:col>9</xdr:col>
          <xdr:colOff>114300</xdr:colOff>
          <xdr:row>19</xdr:row>
          <xdr:rowOff>38100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Leave Formulas Active on Calculation Sheets (this slightly slows down performance)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F12B24-F432-41CF-8A1F-5C56F2C8DDA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lliam Young" refreshedDate="42802.64047662037" createdVersion="3" refreshedVersion="6" minRefreshableVersion="3" recordCount="35">
  <cacheSource type="worksheet">
    <worksheetSource ref="A1:D36" sheet="Data"/>
  </cacheSource>
  <cacheFields count="4">
    <cacheField name="Category" numFmtId="0">
      <sharedItems count="2">
        <s v="SomeCat"/>
        <s v="SomeOtherCat"/>
      </sharedItems>
    </cacheField>
    <cacheField name="Date" numFmtId="164">
      <sharedItems containsSemiMixedTypes="0" containsNonDate="0" containsDate="1" containsString="0" minDate="1999-01-01T00:00:00" maxDate="2001-01-02T00:00:00"/>
    </cacheField>
    <cacheField name="Value" numFmtId="0">
      <sharedItems containsSemiMixedTypes="0" containsString="0" containsNumber="1" containsInteger="1" minValue="1" maxValue="5"/>
    </cacheField>
    <cacheField name="Seasonally" numFmtId="0">
      <sharedItems count="4">
        <s v="Winter"/>
        <s v="Spring"/>
        <s v="Summer"/>
        <s v="F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lliam Young" refreshedDate="42802.640480671296" createdVersion="3" refreshedVersion="6" minRefreshableVersion="3" recordCount="35">
  <cacheSource type="worksheet">
    <worksheetSource ref="A1:D36" sheet="Data"/>
  </cacheSource>
  <cacheFields count="4">
    <cacheField name="Category" numFmtId="0">
      <sharedItems count="2">
        <s v="SomeCat"/>
        <s v="SomeOtherCat"/>
      </sharedItems>
    </cacheField>
    <cacheField name="Date" numFmtId="164">
      <sharedItems containsSemiMixedTypes="0" containsNonDate="0" containsDate="1" containsString="0" minDate="1999-01-01T00:00:00" maxDate="2001-01-02T00:00:00" count="25">
        <d v="1999-01-01T00:00:00"/>
        <d v="1999-02-01T00:00:00"/>
        <d v="1999-03-01T00:00:00"/>
        <d v="1999-04-01T00:00:00"/>
        <d v="1999-05-01T00:00:00"/>
        <d v="1999-06-01T00:00:00"/>
        <d v="1999-07-01T00:00:00"/>
        <d v="1999-08-01T00:00:00"/>
        <d v="1999-09-01T00:00:00"/>
        <d v="1999-10-01T00:00:00"/>
        <d v="1999-11-01T00:00:00"/>
        <d v="1999-12-01T00:00:00"/>
        <d v="2000-01-01T00:00:00"/>
        <d v="2000-02-01T00:00:00"/>
        <d v="2000-03-01T00:00:00"/>
        <d v="2000-04-01T00:00:00"/>
        <d v="2000-05-01T00:00:00"/>
        <d v="2000-06-01T00:00:00"/>
        <d v="2000-07-01T00:00:00"/>
        <d v="2000-08-01T00:00:00"/>
        <d v="2000-09-01T00:00:00"/>
        <d v="2000-10-01T00:00:00"/>
        <d v="2000-11-01T00:00:00"/>
        <d v="2000-12-01T00:00:00"/>
        <d v="2001-01-01T00:00:00"/>
      </sharedItems>
    </cacheField>
    <cacheField name="Value" numFmtId="0">
      <sharedItems containsSemiMixedTypes="0" containsString="0" containsNumber="1" containsInteger="1" minValue="1" maxValue="5"/>
    </cacheField>
    <cacheField name="Seasonall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d v="1999-01-01T00:00:00"/>
    <n v="1"/>
    <x v="0"/>
  </r>
  <r>
    <x v="1"/>
    <d v="1999-01-01T00:00:00"/>
    <n v="1"/>
    <x v="0"/>
  </r>
  <r>
    <x v="0"/>
    <d v="1999-02-01T00:00:00"/>
    <n v="1"/>
    <x v="0"/>
  </r>
  <r>
    <x v="1"/>
    <d v="1999-02-01T00:00:00"/>
    <n v="1"/>
    <x v="0"/>
  </r>
  <r>
    <x v="0"/>
    <d v="1999-03-01T00:00:00"/>
    <n v="2"/>
    <x v="1"/>
  </r>
  <r>
    <x v="1"/>
    <d v="1999-03-01T00:00:00"/>
    <n v="2"/>
    <x v="1"/>
  </r>
  <r>
    <x v="0"/>
    <d v="1999-04-01T00:00:00"/>
    <n v="2"/>
    <x v="1"/>
  </r>
  <r>
    <x v="1"/>
    <d v="1999-04-01T00:00:00"/>
    <n v="3"/>
    <x v="1"/>
  </r>
  <r>
    <x v="0"/>
    <d v="1999-05-01T00:00:00"/>
    <n v="3"/>
    <x v="1"/>
  </r>
  <r>
    <x v="1"/>
    <d v="1999-05-01T00:00:00"/>
    <n v="3"/>
    <x v="1"/>
  </r>
  <r>
    <x v="0"/>
    <d v="1999-06-01T00:00:00"/>
    <n v="3"/>
    <x v="2"/>
  </r>
  <r>
    <x v="1"/>
    <d v="1999-06-01T00:00:00"/>
    <n v="2"/>
    <x v="2"/>
  </r>
  <r>
    <x v="0"/>
    <d v="1999-07-01T00:00:00"/>
    <n v="2"/>
    <x v="2"/>
  </r>
  <r>
    <x v="1"/>
    <d v="1999-07-01T00:00:00"/>
    <n v="2"/>
    <x v="2"/>
  </r>
  <r>
    <x v="0"/>
    <d v="1999-08-01T00:00:00"/>
    <n v="2"/>
    <x v="2"/>
  </r>
  <r>
    <x v="1"/>
    <d v="1999-08-01T00:00:00"/>
    <n v="2"/>
    <x v="2"/>
  </r>
  <r>
    <x v="0"/>
    <d v="1999-09-01T00:00:00"/>
    <n v="2"/>
    <x v="3"/>
  </r>
  <r>
    <x v="1"/>
    <d v="1999-09-01T00:00:00"/>
    <n v="2"/>
    <x v="3"/>
  </r>
  <r>
    <x v="0"/>
    <d v="1999-10-01T00:00:00"/>
    <n v="1"/>
    <x v="3"/>
  </r>
  <r>
    <x v="1"/>
    <d v="1999-10-01T00:00:00"/>
    <n v="2"/>
    <x v="3"/>
  </r>
  <r>
    <x v="0"/>
    <d v="1999-11-01T00:00:00"/>
    <n v="1"/>
    <x v="3"/>
  </r>
  <r>
    <x v="0"/>
    <d v="1999-12-01T00:00:00"/>
    <n v="3"/>
    <x v="0"/>
  </r>
  <r>
    <x v="0"/>
    <d v="2000-01-01T00:00:00"/>
    <n v="1"/>
    <x v="0"/>
  </r>
  <r>
    <x v="0"/>
    <d v="2000-02-01T00:00:00"/>
    <n v="1"/>
    <x v="0"/>
  </r>
  <r>
    <x v="0"/>
    <d v="2000-03-01T00:00:00"/>
    <n v="2"/>
    <x v="1"/>
  </r>
  <r>
    <x v="0"/>
    <d v="2000-04-01T00:00:00"/>
    <n v="2"/>
    <x v="1"/>
  </r>
  <r>
    <x v="0"/>
    <d v="2000-05-01T00:00:00"/>
    <n v="3"/>
    <x v="1"/>
  </r>
  <r>
    <x v="0"/>
    <d v="2000-06-01T00:00:00"/>
    <n v="3"/>
    <x v="2"/>
  </r>
  <r>
    <x v="0"/>
    <d v="2000-07-01T00:00:00"/>
    <n v="2"/>
    <x v="2"/>
  </r>
  <r>
    <x v="0"/>
    <d v="2000-08-01T00:00:00"/>
    <n v="2"/>
    <x v="2"/>
  </r>
  <r>
    <x v="0"/>
    <d v="2000-09-01T00:00:00"/>
    <n v="2"/>
    <x v="3"/>
  </r>
  <r>
    <x v="0"/>
    <d v="2000-10-01T00:00:00"/>
    <n v="1"/>
    <x v="3"/>
  </r>
  <r>
    <x v="0"/>
    <d v="2000-11-01T00:00:00"/>
    <n v="1"/>
    <x v="3"/>
  </r>
  <r>
    <x v="0"/>
    <d v="2000-12-01T00:00:00"/>
    <n v="5"/>
    <x v="0"/>
  </r>
  <r>
    <x v="0"/>
    <d v="2001-01-01T00:00:00"/>
    <n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">
  <r>
    <x v="0"/>
    <x v="0"/>
    <n v="1"/>
    <s v="Winter"/>
  </r>
  <r>
    <x v="1"/>
    <x v="0"/>
    <n v="1"/>
    <s v="Winter"/>
  </r>
  <r>
    <x v="0"/>
    <x v="1"/>
    <n v="1"/>
    <s v="Winter"/>
  </r>
  <r>
    <x v="1"/>
    <x v="1"/>
    <n v="1"/>
    <s v="Winter"/>
  </r>
  <r>
    <x v="0"/>
    <x v="2"/>
    <n v="2"/>
    <s v="Spring"/>
  </r>
  <r>
    <x v="1"/>
    <x v="2"/>
    <n v="2"/>
    <s v="Spring"/>
  </r>
  <r>
    <x v="0"/>
    <x v="3"/>
    <n v="2"/>
    <s v="Spring"/>
  </r>
  <r>
    <x v="1"/>
    <x v="3"/>
    <n v="3"/>
    <s v="Spring"/>
  </r>
  <r>
    <x v="0"/>
    <x v="4"/>
    <n v="3"/>
    <s v="Spring"/>
  </r>
  <r>
    <x v="1"/>
    <x v="4"/>
    <n v="3"/>
    <s v="Spring"/>
  </r>
  <r>
    <x v="0"/>
    <x v="5"/>
    <n v="3"/>
    <s v="Summer"/>
  </r>
  <r>
    <x v="1"/>
    <x v="5"/>
    <n v="2"/>
    <s v="Summer"/>
  </r>
  <r>
    <x v="0"/>
    <x v="6"/>
    <n v="2"/>
    <s v="Summer"/>
  </r>
  <r>
    <x v="1"/>
    <x v="6"/>
    <n v="2"/>
    <s v="Summer"/>
  </r>
  <r>
    <x v="0"/>
    <x v="7"/>
    <n v="2"/>
    <s v="Summer"/>
  </r>
  <r>
    <x v="1"/>
    <x v="7"/>
    <n v="2"/>
    <s v="Summer"/>
  </r>
  <r>
    <x v="0"/>
    <x v="8"/>
    <n v="2"/>
    <s v="Fall"/>
  </r>
  <r>
    <x v="1"/>
    <x v="8"/>
    <n v="2"/>
    <s v="Fall"/>
  </r>
  <r>
    <x v="0"/>
    <x v="9"/>
    <n v="1"/>
    <s v="Fall"/>
  </r>
  <r>
    <x v="1"/>
    <x v="9"/>
    <n v="2"/>
    <s v="Fall"/>
  </r>
  <r>
    <x v="0"/>
    <x v="10"/>
    <n v="1"/>
    <s v="Fall"/>
  </r>
  <r>
    <x v="0"/>
    <x v="11"/>
    <n v="3"/>
    <s v="Winter"/>
  </r>
  <r>
    <x v="0"/>
    <x v="12"/>
    <n v="1"/>
    <s v="Winter"/>
  </r>
  <r>
    <x v="0"/>
    <x v="13"/>
    <n v="1"/>
    <s v="Winter"/>
  </r>
  <r>
    <x v="0"/>
    <x v="14"/>
    <n v="2"/>
    <s v="Spring"/>
  </r>
  <r>
    <x v="0"/>
    <x v="15"/>
    <n v="2"/>
    <s v="Spring"/>
  </r>
  <r>
    <x v="0"/>
    <x v="16"/>
    <n v="3"/>
    <s v="Spring"/>
  </r>
  <r>
    <x v="0"/>
    <x v="17"/>
    <n v="3"/>
    <s v="Summer"/>
  </r>
  <r>
    <x v="0"/>
    <x v="18"/>
    <n v="2"/>
    <s v="Summer"/>
  </r>
  <r>
    <x v="0"/>
    <x v="19"/>
    <n v="2"/>
    <s v="Summer"/>
  </r>
  <r>
    <x v="0"/>
    <x v="20"/>
    <n v="2"/>
    <s v="Fall"/>
  </r>
  <r>
    <x v="0"/>
    <x v="21"/>
    <n v="1"/>
    <s v="Fall"/>
  </r>
  <r>
    <x v="0"/>
    <x v="22"/>
    <n v="1"/>
    <s v="Fall"/>
  </r>
  <r>
    <x v="0"/>
    <x v="23"/>
    <n v="5"/>
    <s v="Winter"/>
  </r>
  <r>
    <x v="0"/>
    <x v="24"/>
    <n v="1"/>
    <s v="Wint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Results" cacheId="3" applyNumberFormats="0" applyBorderFormats="0" applyFontFormats="0" applyPatternFormats="0" applyAlignmentFormats="0" applyWidthHeightFormats="1" dataCaption="Values" updatedVersion="6" minRefreshableVersion="3" showCalcMbrs="0" colGrandTotals="0" itemPrintTitles="1" createdVersion="3" indent="0" showHeaders="0" outline="1" outlineData="1" multipleFieldFilters="0">
  <location ref="A1:E7" firstHeaderRow="0" firstDataRow="2" firstDataCol="1"/>
  <pivotFields count="4">
    <pivotField name="Category" axis="axisCol" subtotalTop="0" showAll="0">
      <items count="3">
        <item x="0"/>
        <item x="1"/>
        <item t="default"/>
      </items>
    </pivotField>
    <pivotField dataField="1" numFmtId="164" subtotalTop="0" showAll="0"/>
    <pivotField dataField="1" subtotalTop="0" showAll="0"/>
    <pivotField name="Seasonally" axis="axisRow" subtotalTop="0" showAll="0">
      <items count="5">
        <item x="3"/>
        <item x="1"/>
        <item x="2"/>
        <item x="0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Sum of Value" fld="2" baseField="0" baseItem="0"/>
    <dataField name="Count of Date" fld="1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name="Pivot(2)" cacheId="7" applyNumberFormats="0" applyBorderFormats="0" applyFontFormats="0" applyPatternFormats="0" applyAlignmentFormats="0" applyWidthHeightFormats="1" dataCaption="Values" updatedVersion="6" minRefreshableVersion="3" showCalcMbrs="0" rowGrandTotals="0" colGrandTotals="0" itemPrintTitles="1" createdVersion="3" indent="0" showHeaders="0" outline="1" outlineData="1" multipleFieldFilters="0">
  <location ref="A1:C27" firstHeaderRow="1" firstDataRow="2" firstDataCol="1"/>
  <pivotFields count="4">
    <pivotField name="Category" axis="axisCol" subtotalTop="0" showAll="0">
      <items count="3">
        <item x="0"/>
        <item x="1"/>
        <item t="default"/>
      </items>
    </pivotField>
    <pivotField name="Date" axis="axisRow" numFmtId="164" subtotalTop="0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ubtotalTop="0" showAll="0"/>
    <pivotField subtotalTop="0" showAll="0"/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0"/>
  </colFields>
  <colItems count="2">
    <i>
      <x/>
    </i>
    <i>
      <x v="1"/>
    </i>
  </colItems>
  <dataFields count="1">
    <dataField name="Average of Value" fld="2" subtotal="average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AV18"/>
  <sheetViews>
    <sheetView workbookViewId="0">
      <selection activeCell="C2" sqref="C2"/>
    </sheetView>
  </sheetViews>
  <sheetFormatPr defaultRowHeight="15" x14ac:dyDescent="0.25"/>
  <cols>
    <col min="1" max="1" width="2" customWidth="1"/>
    <col min="2" max="2" width="12.5703125" customWidth="1"/>
    <col min="3" max="4" width="8.140625" customWidth="1"/>
    <col min="5" max="5" width="18.28515625" customWidth="1"/>
    <col min="6" max="6" width="21.85546875" customWidth="1"/>
    <col min="7" max="7" width="7.140625" customWidth="1"/>
    <col min="8" max="8" width="21.42578125" customWidth="1"/>
    <col min="9" max="9" width="11.7109375" customWidth="1"/>
    <col min="10" max="10" width="11.5703125" customWidth="1"/>
  </cols>
  <sheetData>
    <row r="1" spans="2:48" s="1" customFormat="1" ht="17.25" customHeight="1" thickBot="1" x14ac:dyDescent="0.3">
      <c r="H1" s="20" t="s">
        <v>13</v>
      </c>
      <c r="I1" s="19"/>
      <c r="J1" s="19"/>
    </row>
    <row r="2" spans="2:48" ht="21.95" customHeight="1" thickBot="1" x14ac:dyDescent="0.3">
      <c r="C2" s="4">
        <v>2</v>
      </c>
      <c r="D2" t="b">
        <v>1</v>
      </c>
      <c r="E2" s="10" t="s">
        <v>20</v>
      </c>
      <c r="F2" s="5" t="s">
        <v>2</v>
      </c>
      <c r="H2" s="19"/>
      <c r="I2" s="19" t="s">
        <v>16</v>
      </c>
      <c r="J2" s="19" t="s">
        <v>17</v>
      </c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ht="21.95" customHeight="1" thickBot="1" x14ac:dyDescent="0.3">
      <c r="E3" s="8"/>
      <c r="F3" s="6">
        <v>4</v>
      </c>
      <c r="H3" s="19" t="s">
        <v>0</v>
      </c>
      <c r="I3" s="19">
        <f>INTERCEPT('Pivot(2)'!$B$3:$B$27,'Pivot(2)'!$A$3:$A$27)</f>
        <v>-18.106466018589369</v>
      </c>
      <c r="J3" s="19">
        <f>INTERCEPT('Pivot(2)'!$C$3:$C$27,'Pivot(2)'!$A$3:$A$27)</f>
        <v>-83.414810822180726</v>
      </c>
    </row>
    <row r="4" spans="2:48" ht="21.95" customHeight="1" x14ac:dyDescent="0.25">
      <c r="E4" s="8"/>
      <c r="F4" s="7" t="s">
        <v>4</v>
      </c>
      <c r="H4" s="19" t="s">
        <v>1</v>
      </c>
      <c r="I4" s="19">
        <f>SLOPE('Pivot(2)'!$B$3:$B$27,'Pivot(2)'!$A$3:$A$27)</f>
        <v>5.4937966982652672E-4</v>
      </c>
      <c r="J4" s="19">
        <f>SLOPE('Pivot(2)'!$C$3:$C$27,'Pivot(2)'!$A$3:$A$27)</f>
        <v>2.3532195724765333E-3</v>
      </c>
    </row>
    <row r="5" spans="2:48" ht="21.95" customHeight="1" thickBot="1" x14ac:dyDescent="0.3">
      <c r="E5" s="8"/>
      <c r="F5" s="11">
        <v>12</v>
      </c>
      <c r="H5" s="19"/>
      <c r="I5" s="19"/>
    </row>
    <row r="6" spans="2:48" ht="21.95" customHeight="1" x14ac:dyDescent="0.25">
      <c r="E6" s="8"/>
      <c r="F6" s="3"/>
    </row>
    <row r="7" spans="2:48" ht="21.95" customHeight="1" x14ac:dyDescent="0.25">
      <c r="E7" s="8"/>
      <c r="F7" s="3"/>
    </row>
    <row r="8" spans="2:48" ht="21.95" customHeight="1" thickBot="1" x14ac:dyDescent="0.3">
      <c r="E8" s="9"/>
    </row>
    <row r="9" spans="2:48" x14ac:dyDescent="0.25">
      <c r="B9" s="1"/>
      <c r="H9" s="3"/>
      <c r="I9" s="3"/>
      <c r="J9" s="3"/>
    </row>
    <row r="10" spans="2:48" x14ac:dyDescent="0.25">
      <c r="B10" s="3" t="s">
        <v>18</v>
      </c>
      <c r="H10" s="3"/>
      <c r="I10" s="3"/>
      <c r="J10" s="3"/>
    </row>
    <row r="11" spans="2:48" x14ac:dyDescent="0.25">
      <c r="B11" s="14" t="s">
        <v>9</v>
      </c>
      <c r="C11" s="3" t="s">
        <v>6</v>
      </c>
      <c r="H11" s="3"/>
      <c r="I11" s="3"/>
      <c r="J11" s="3"/>
    </row>
    <row r="12" spans="2:48" x14ac:dyDescent="0.25">
      <c r="B12" s="14" t="s">
        <v>9</v>
      </c>
      <c r="C12" s="3" t="s">
        <v>19</v>
      </c>
      <c r="H12" s="3"/>
      <c r="I12" s="3"/>
      <c r="J12" s="3"/>
    </row>
    <row r="13" spans="2:48" x14ac:dyDescent="0.25">
      <c r="B13" s="14" t="s">
        <v>9</v>
      </c>
      <c r="C13" s="3" t="s">
        <v>3</v>
      </c>
      <c r="H13" s="3"/>
      <c r="I13" s="3"/>
      <c r="J13" s="3"/>
    </row>
    <row r="14" spans="2:48" x14ac:dyDescent="0.25">
      <c r="B14" s="14" t="s">
        <v>9</v>
      </c>
      <c r="C14" s="3" t="s">
        <v>11</v>
      </c>
      <c r="H14" s="3"/>
      <c r="I14" s="3"/>
      <c r="J14" s="3"/>
    </row>
    <row r="15" spans="2:48" s="3" customFormat="1" x14ac:dyDescent="0.25">
      <c r="B15" s="14"/>
      <c r="C15" s="3" t="s">
        <v>10</v>
      </c>
    </row>
    <row r="16" spans="2:48" x14ac:dyDescent="0.25">
      <c r="B16" s="14" t="s">
        <v>9</v>
      </c>
      <c r="C16" s="1" t="s">
        <v>14</v>
      </c>
      <c r="H16" s="3"/>
      <c r="I16" s="3"/>
      <c r="J16" s="3"/>
    </row>
    <row r="17" spans="2:4" x14ac:dyDescent="0.25">
      <c r="B17" s="14" t="s">
        <v>9</v>
      </c>
      <c r="C17" s="4" t="s">
        <v>8</v>
      </c>
      <c r="D17" s="2"/>
    </row>
    <row r="18" spans="2:4" x14ac:dyDescent="0.25">
      <c r="B18" s="14" t="s">
        <v>9</v>
      </c>
      <c r="C18" s="4" t="s">
        <v>7</v>
      </c>
      <c r="D18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ildEventsPerSeasonReport">
                <anchor moveWithCells="1">
                  <from>
                    <xdr:col>1</xdr:col>
                    <xdr:colOff>133350</xdr:colOff>
                    <xdr:row>0</xdr:row>
                    <xdr:rowOff>171450</xdr:rowOff>
                  </from>
                  <to>
                    <xdr:col>3</xdr:col>
                    <xdr:colOff>476250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5" name="Button 11">
              <controlPr defaultSize="0" print="0" autoFill="0" autoPict="0" macro="[0]!HideCalculationSheets">
                <anchor moveWithCells="1">
                  <from>
                    <xdr:col>1</xdr:col>
                    <xdr:colOff>114300</xdr:colOff>
                    <xdr:row>3</xdr:row>
                    <xdr:rowOff>0</xdr:rowOff>
                  </from>
                  <to>
                    <xdr:col>2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Button 12">
              <controlPr defaultSize="0" print="0" autoFill="0" autoPict="0" macro="[0]!RevealAllSheets">
                <anchor moveWithCells="1">
                  <from>
                    <xdr:col>2</xdr:col>
                    <xdr:colOff>228600</xdr:colOff>
                    <xdr:row>3</xdr:row>
                    <xdr:rowOff>0</xdr:rowOff>
                  </from>
                  <to>
                    <xdr:col>3</xdr:col>
                    <xdr:colOff>438150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7" name="Option Button 15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2</xdr:row>
                    <xdr:rowOff>66675</xdr:rowOff>
                  </from>
                  <to>
                    <xdr:col>4</xdr:col>
                    <xdr:colOff>1200150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8" name="Option Button 16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3</xdr:row>
                    <xdr:rowOff>47625</xdr:rowOff>
                  </from>
                  <to>
                    <xdr:col>4</xdr:col>
                    <xdr:colOff>1209675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9" name="Option Button 17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4</xdr:row>
                    <xdr:rowOff>66675</xdr:rowOff>
                  </from>
                  <to>
                    <xdr:col>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0" name="Option Button 18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5</xdr:row>
                    <xdr:rowOff>57150</xdr:rowOff>
                  </from>
                  <to>
                    <xdr:col>4</xdr:col>
                    <xdr:colOff>1190625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1" name="Option Button 19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6</xdr:row>
                    <xdr:rowOff>47625</xdr:rowOff>
                  </from>
                  <to>
                    <xdr:col>4</xdr:col>
                    <xdr:colOff>1200150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2" name="Option Button 20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7</xdr:row>
                    <xdr:rowOff>57150</xdr:rowOff>
                  </from>
                  <to>
                    <xdr:col>4</xdr:col>
                    <xdr:colOff>1190625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3" name="Check Box 21">
              <controlPr defaultSize="0" autoFill="0" autoLine="0" autoPict="0">
                <anchor moveWithCells="1">
                  <from>
                    <xdr:col>1</xdr:col>
                    <xdr:colOff>647700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95"/>
  <sheetViews>
    <sheetView workbookViewId="0">
      <selection sqref="A1:C36"/>
    </sheetView>
  </sheetViews>
  <sheetFormatPr defaultRowHeight="15" x14ac:dyDescent="0.25"/>
  <cols>
    <col min="1" max="1" width="14.5703125" customWidth="1"/>
    <col min="2" max="2" width="17.42578125" customWidth="1"/>
    <col min="3" max="3" width="22.28515625" customWidth="1"/>
  </cols>
  <sheetData>
    <row r="1" spans="1:4" x14ac:dyDescent="0.25">
      <c r="A1" s="12" t="s">
        <v>12</v>
      </c>
      <c r="B1" s="12" t="s">
        <v>5</v>
      </c>
      <c r="C1" s="12" t="s">
        <v>15</v>
      </c>
      <c r="D1" t="s">
        <v>21</v>
      </c>
    </row>
    <row r="2" spans="1:4" ht="15" customHeight="1" x14ac:dyDescent="0.25">
      <c r="A2" s="16" t="s">
        <v>16</v>
      </c>
      <c r="B2" s="17">
        <v>36161</v>
      </c>
      <c r="C2" s="18">
        <v>1</v>
      </c>
      <c r="D2" t="str">
        <f>GetSelectedSeasonFromDate(B2)</f>
        <v>Winter</v>
      </c>
    </row>
    <row r="3" spans="1:4" ht="15" customHeight="1" x14ac:dyDescent="0.25">
      <c r="A3" s="16" t="s">
        <v>17</v>
      </c>
      <c r="B3" s="17">
        <v>36161</v>
      </c>
      <c r="C3" s="18">
        <v>1</v>
      </c>
      <c r="D3" t="str">
        <f>GetSelectedSeasonFromDate(B3)</f>
        <v>Winter</v>
      </c>
    </row>
    <row r="4" spans="1:4" x14ac:dyDescent="0.25">
      <c r="A4" s="16" t="s">
        <v>16</v>
      </c>
      <c r="B4" s="17">
        <v>36192</v>
      </c>
      <c r="C4" s="18">
        <v>1</v>
      </c>
      <c r="D4" t="str">
        <f>GetSelectedSeasonFromDate(B4)</f>
        <v>Winter</v>
      </c>
    </row>
    <row r="5" spans="1:4" x14ac:dyDescent="0.25">
      <c r="A5" s="16" t="s">
        <v>17</v>
      </c>
      <c r="B5" s="17">
        <v>36192</v>
      </c>
      <c r="C5" s="18">
        <v>1</v>
      </c>
      <c r="D5" t="str">
        <f>GetSelectedSeasonFromDate(B5)</f>
        <v>Winter</v>
      </c>
    </row>
    <row r="6" spans="1:4" x14ac:dyDescent="0.25">
      <c r="A6" s="16" t="s">
        <v>16</v>
      </c>
      <c r="B6" s="17">
        <v>36220</v>
      </c>
      <c r="C6" s="18">
        <v>2</v>
      </c>
      <c r="D6" t="str">
        <f>GetSelectedSeasonFromDate(B6)</f>
        <v>Spring</v>
      </c>
    </row>
    <row r="7" spans="1:4" x14ac:dyDescent="0.25">
      <c r="A7" s="16" t="s">
        <v>17</v>
      </c>
      <c r="B7" s="17">
        <v>36220</v>
      </c>
      <c r="C7" s="18">
        <v>2</v>
      </c>
      <c r="D7" t="str">
        <f>GetSelectedSeasonFromDate(B7)</f>
        <v>Spring</v>
      </c>
    </row>
    <row r="8" spans="1:4" x14ac:dyDescent="0.25">
      <c r="A8" s="16" t="s">
        <v>16</v>
      </c>
      <c r="B8" s="17">
        <v>36251</v>
      </c>
      <c r="C8" s="18">
        <v>2</v>
      </c>
      <c r="D8" t="str">
        <f>GetSelectedSeasonFromDate(B8)</f>
        <v>Spring</v>
      </c>
    </row>
    <row r="9" spans="1:4" x14ac:dyDescent="0.25">
      <c r="A9" s="16" t="s">
        <v>17</v>
      </c>
      <c r="B9" s="17">
        <v>36251</v>
      </c>
      <c r="C9" s="18">
        <v>3</v>
      </c>
      <c r="D9" t="str">
        <f>GetSelectedSeasonFromDate(B9)</f>
        <v>Spring</v>
      </c>
    </row>
    <row r="10" spans="1:4" x14ac:dyDescent="0.25">
      <c r="A10" s="16" t="s">
        <v>16</v>
      </c>
      <c r="B10" s="17">
        <v>36281</v>
      </c>
      <c r="C10" s="18">
        <v>3</v>
      </c>
      <c r="D10" t="str">
        <f>GetSelectedSeasonFromDate(B10)</f>
        <v>Spring</v>
      </c>
    </row>
    <row r="11" spans="1:4" x14ac:dyDescent="0.25">
      <c r="A11" s="16" t="s">
        <v>17</v>
      </c>
      <c r="B11" s="17">
        <v>36281</v>
      </c>
      <c r="C11" s="18">
        <v>3</v>
      </c>
      <c r="D11" t="str">
        <f>GetSelectedSeasonFromDate(B11)</f>
        <v>Spring</v>
      </c>
    </row>
    <row r="12" spans="1:4" x14ac:dyDescent="0.25">
      <c r="A12" s="16" t="s">
        <v>16</v>
      </c>
      <c r="B12" s="17">
        <v>36312</v>
      </c>
      <c r="C12" s="18">
        <v>3</v>
      </c>
      <c r="D12" t="str">
        <f>GetSelectedSeasonFromDate(B12)</f>
        <v>Summer</v>
      </c>
    </row>
    <row r="13" spans="1:4" x14ac:dyDescent="0.25">
      <c r="A13" s="16" t="s">
        <v>17</v>
      </c>
      <c r="B13" s="17">
        <v>36312</v>
      </c>
      <c r="C13" s="18">
        <v>2</v>
      </c>
      <c r="D13" t="str">
        <f>GetSelectedSeasonFromDate(B13)</f>
        <v>Summer</v>
      </c>
    </row>
    <row r="14" spans="1:4" x14ac:dyDescent="0.25">
      <c r="A14" s="16" t="s">
        <v>16</v>
      </c>
      <c r="B14" s="17">
        <v>36342</v>
      </c>
      <c r="C14" s="18">
        <v>2</v>
      </c>
      <c r="D14" t="str">
        <f>GetSelectedSeasonFromDate(B14)</f>
        <v>Summer</v>
      </c>
    </row>
    <row r="15" spans="1:4" x14ac:dyDescent="0.25">
      <c r="A15" s="16" t="s">
        <v>17</v>
      </c>
      <c r="B15" s="17">
        <v>36342</v>
      </c>
      <c r="C15" s="18">
        <v>2</v>
      </c>
      <c r="D15" t="str">
        <f>GetSelectedSeasonFromDate(B15)</f>
        <v>Summer</v>
      </c>
    </row>
    <row r="16" spans="1:4" x14ac:dyDescent="0.25">
      <c r="A16" s="16" t="s">
        <v>16</v>
      </c>
      <c r="B16" s="17">
        <v>36373</v>
      </c>
      <c r="C16" s="18">
        <v>2</v>
      </c>
      <c r="D16" t="str">
        <f>GetSelectedSeasonFromDate(B16)</f>
        <v>Summer</v>
      </c>
    </row>
    <row r="17" spans="1:4" x14ac:dyDescent="0.25">
      <c r="A17" s="16" t="s">
        <v>17</v>
      </c>
      <c r="B17" s="17">
        <v>36373</v>
      </c>
      <c r="C17" s="18">
        <v>2</v>
      </c>
      <c r="D17" t="str">
        <f>GetSelectedSeasonFromDate(B17)</f>
        <v>Summer</v>
      </c>
    </row>
    <row r="18" spans="1:4" x14ac:dyDescent="0.25">
      <c r="A18" s="16" t="s">
        <v>16</v>
      </c>
      <c r="B18" s="17">
        <v>36404</v>
      </c>
      <c r="C18" s="18">
        <v>2</v>
      </c>
      <c r="D18" t="str">
        <f>GetSelectedSeasonFromDate(B18)</f>
        <v>Fall</v>
      </c>
    </row>
    <row r="19" spans="1:4" x14ac:dyDescent="0.25">
      <c r="A19" s="16" t="s">
        <v>17</v>
      </c>
      <c r="B19" s="17">
        <v>36404</v>
      </c>
      <c r="C19" s="18">
        <v>2</v>
      </c>
      <c r="D19" t="str">
        <f>GetSelectedSeasonFromDate(B19)</f>
        <v>Fall</v>
      </c>
    </row>
    <row r="20" spans="1:4" x14ac:dyDescent="0.25">
      <c r="A20" s="16" t="s">
        <v>16</v>
      </c>
      <c r="B20" s="17">
        <v>36434</v>
      </c>
      <c r="C20" s="18">
        <v>1</v>
      </c>
      <c r="D20" t="str">
        <f>GetSelectedSeasonFromDate(B20)</f>
        <v>Fall</v>
      </c>
    </row>
    <row r="21" spans="1:4" x14ac:dyDescent="0.25">
      <c r="A21" s="16" t="s">
        <v>17</v>
      </c>
      <c r="B21" s="17">
        <v>36434</v>
      </c>
      <c r="C21" s="18">
        <v>2</v>
      </c>
      <c r="D21" t="str">
        <f>GetSelectedSeasonFromDate(B21)</f>
        <v>Fall</v>
      </c>
    </row>
    <row r="22" spans="1:4" x14ac:dyDescent="0.25">
      <c r="A22" s="16" t="s">
        <v>16</v>
      </c>
      <c r="B22" s="17">
        <v>36465</v>
      </c>
      <c r="C22" s="18">
        <v>1</v>
      </c>
      <c r="D22" t="str">
        <f>GetSelectedSeasonFromDate(B22)</f>
        <v>Fall</v>
      </c>
    </row>
    <row r="23" spans="1:4" x14ac:dyDescent="0.25">
      <c r="A23" s="16" t="s">
        <v>16</v>
      </c>
      <c r="B23" s="17">
        <v>36495</v>
      </c>
      <c r="C23" s="18">
        <v>3</v>
      </c>
      <c r="D23" t="str">
        <f>GetSelectedSeasonFromDate(B23)</f>
        <v>Winter</v>
      </c>
    </row>
    <row r="24" spans="1:4" x14ac:dyDescent="0.25">
      <c r="A24" s="16" t="s">
        <v>16</v>
      </c>
      <c r="B24" s="17">
        <v>36526</v>
      </c>
      <c r="C24" s="18">
        <v>1</v>
      </c>
      <c r="D24" t="str">
        <f>GetSelectedSeasonFromDate(B24)</f>
        <v>Winter</v>
      </c>
    </row>
    <row r="25" spans="1:4" x14ac:dyDescent="0.25">
      <c r="A25" s="16" t="s">
        <v>16</v>
      </c>
      <c r="B25" s="17">
        <v>36557</v>
      </c>
      <c r="C25" s="18">
        <v>1</v>
      </c>
      <c r="D25" t="str">
        <f>GetSelectedSeasonFromDate(B25)</f>
        <v>Winter</v>
      </c>
    </row>
    <row r="26" spans="1:4" s="3" customFormat="1" x14ac:dyDescent="0.25">
      <c r="A26" s="16" t="s">
        <v>16</v>
      </c>
      <c r="B26" s="17">
        <v>36586</v>
      </c>
      <c r="C26" s="18">
        <v>2</v>
      </c>
      <c r="D26" s="3" t="str">
        <f>GetSelectedSeasonFromDate(B26)</f>
        <v>Spring</v>
      </c>
    </row>
    <row r="27" spans="1:4" x14ac:dyDescent="0.25">
      <c r="A27" s="16" t="s">
        <v>16</v>
      </c>
      <c r="B27" s="17">
        <v>36617</v>
      </c>
      <c r="C27" s="18">
        <v>2</v>
      </c>
      <c r="D27" t="str">
        <f>GetSelectedSeasonFromDate(B27)</f>
        <v>Spring</v>
      </c>
    </row>
    <row r="28" spans="1:4" x14ac:dyDescent="0.25">
      <c r="A28" s="16" t="s">
        <v>16</v>
      </c>
      <c r="B28" s="17">
        <v>36647</v>
      </c>
      <c r="C28" s="18">
        <v>3</v>
      </c>
      <c r="D28" t="str">
        <f>GetSelectedSeasonFromDate(B28)</f>
        <v>Spring</v>
      </c>
    </row>
    <row r="29" spans="1:4" x14ac:dyDescent="0.25">
      <c r="A29" s="16" t="s">
        <v>16</v>
      </c>
      <c r="B29" s="17">
        <v>36678</v>
      </c>
      <c r="C29" s="18">
        <v>3</v>
      </c>
      <c r="D29" t="str">
        <f>GetSelectedSeasonFromDate(B29)</f>
        <v>Summer</v>
      </c>
    </row>
    <row r="30" spans="1:4" x14ac:dyDescent="0.25">
      <c r="A30" s="16" t="s">
        <v>16</v>
      </c>
      <c r="B30" s="17">
        <v>36708</v>
      </c>
      <c r="C30" s="18">
        <v>2</v>
      </c>
      <c r="D30" t="str">
        <f>GetSelectedSeasonFromDate(B30)</f>
        <v>Summer</v>
      </c>
    </row>
    <row r="31" spans="1:4" x14ac:dyDescent="0.25">
      <c r="A31" s="16" t="s">
        <v>16</v>
      </c>
      <c r="B31" s="17">
        <v>36739</v>
      </c>
      <c r="C31" s="18">
        <v>2</v>
      </c>
      <c r="D31" t="str">
        <f>GetSelectedSeasonFromDate(B31)</f>
        <v>Summer</v>
      </c>
    </row>
    <row r="32" spans="1:4" x14ac:dyDescent="0.25">
      <c r="A32" s="16" t="s">
        <v>16</v>
      </c>
      <c r="B32" s="17">
        <v>36770</v>
      </c>
      <c r="C32" s="18">
        <v>2</v>
      </c>
      <c r="D32" t="str">
        <f>GetSelectedSeasonFromDate(B32)</f>
        <v>Fall</v>
      </c>
    </row>
    <row r="33" spans="1:4" x14ac:dyDescent="0.25">
      <c r="A33" s="16" t="s">
        <v>16</v>
      </c>
      <c r="B33" s="17">
        <v>36800</v>
      </c>
      <c r="C33" s="18">
        <v>1</v>
      </c>
      <c r="D33" t="str">
        <f>GetSelectedSeasonFromDate(B33)</f>
        <v>Fall</v>
      </c>
    </row>
    <row r="34" spans="1:4" x14ac:dyDescent="0.25">
      <c r="A34" s="16" t="s">
        <v>16</v>
      </c>
      <c r="B34" s="17">
        <v>36831</v>
      </c>
      <c r="C34" s="18">
        <v>1</v>
      </c>
      <c r="D34" t="str">
        <f>GetSelectedSeasonFromDate(B34)</f>
        <v>Fall</v>
      </c>
    </row>
    <row r="35" spans="1:4" x14ac:dyDescent="0.25">
      <c r="A35" s="16" t="s">
        <v>16</v>
      </c>
      <c r="B35" s="17">
        <v>36861</v>
      </c>
      <c r="C35" s="18">
        <v>5</v>
      </c>
      <c r="D35" t="str">
        <f>GetSelectedSeasonFromDate(B35)</f>
        <v>Winter</v>
      </c>
    </row>
    <row r="36" spans="1:4" x14ac:dyDescent="0.25">
      <c r="A36" s="16" t="s">
        <v>16</v>
      </c>
      <c r="B36" s="17">
        <v>36892</v>
      </c>
      <c r="C36" s="18">
        <v>1</v>
      </c>
      <c r="D36" t="str">
        <f>GetSelectedSeasonFromDate(B36)</f>
        <v>Winter</v>
      </c>
    </row>
    <row r="37" spans="1:4" x14ac:dyDescent="0.25">
      <c r="A37" s="13"/>
      <c r="B37" s="15"/>
      <c r="C37" s="3"/>
    </row>
    <row r="38" spans="1:4" x14ac:dyDescent="0.25">
      <c r="A38" s="13"/>
      <c r="B38" s="15"/>
      <c r="C38" s="3"/>
    </row>
    <row r="39" spans="1:4" x14ac:dyDescent="0.25">
      <c r="A39" s="13"/>
      <c r="B39" s="15"/>
      <c r="C39" s="3"/>
    </row>
    <row r="40" spans="1:4" x14ac:dyDescent="0.25">
      <c r="A40" s="13"/>
      <c r="B40" s="15"/>
      <c r="C40" s="3"/>
    </row>
    <row r="41" spans="1:4" x14ac:dyDescent="0.25">
      <c r="A41" s="13"/>
      <c r="B41" s="15"/>
      <c r="C41" s="3"/>
    </row>
    <row r="42" spans="1:4" x14ac:dyDescent="0.25">
      <c r="A42" s="13"/>
      <c r="B42" s="15"/>
      <c r="C42" s="3"/>
    </row>
    <row r="43" spans="1:4" x14ac:dyDescent="0.25">
      <c r="A43" s="13"/>
      <c r="B43" s="15"/>
      <c r="C43" s="3"/>
    </row>
    <row r="44" spans="1:4" x14ac:dyDescent="0.25">
      <c r="A44" s="13"/>
      <c r="B44" s="15"/>
      <c r="C44" s="3"/>
    </row>
    <row r="45" spans="1:4" x14ac:dyDescent="0.25">
      <c r="A45" s="13"/>
      <c r="B45" s="15"/>
      <c r="C45" s="3"/>
    </row>
    <row r="46" spans="1:4" x14ac:dyDescent="0.25">
      <c r="A46" s="13"/>
      <c r="B46" s="15"/>
      <c r="C46" s="3"/>
    </row>
    <row r="47" spans="1:4" x14ac:dyDescent="0.25">
      <c r="A47" s="13"/>
      <c r="B47" s="15"/>
      <c r="C47" s="3"/>
    </row>
    <row r="48" spans="1:4" x14ac:dyDescent="0.25">
      <c r="A48" s="13"/>
      <c r="B48" s="15"/>
      <c r="C48" s="3"/>
    </row>
    <row r="49" spans="1:3" x14ac:dyDescent="0.25">
      <c r="A49" s="13"/>
      <c r="B49" s="15"/>
      <c r="C49" s="3"/>
    </row>
    <row r="50" spans="1:3" x14ac:dyDescent="0.25">
      <c r="A50" s="13"/>
      <c r="B50" s="15"/>
      <c r="C50" s="3"/>
    </row>
    <row r="51" spans="1:3" x14ac:dyDescent="0.25">
      <c r="A51" s="13"/>
      <c r="B51" s="15"/>
      <c r="C51" s="3"/>
    </row>
    <row r="52" spans="1:3" x14ac:dyDescent="0.25">
      <c r="A52" s="13"/>
      <c r="B52" s="15"/>
      <c r="C52" s="3"/>
    </row>
    <row r="53" spans="1:3" x14ac:dyDescent="0.25">
      <c r="A53" s="13"/>
      <c r="B53" s="15"/>
      <c r="C53" s="3"/>
    </row>
    <row r="54" spans="1:3" x14ac:dyDescent="0.25">
      <c r="A54" s="13"/>
      <c r="B54" s="15"/>
      <c r="C54" s="3"/>
    </row>
    <row r="55" spans="1:3" x14ac:dyDescent="0.25">
      <c r="A55" s="13"/>
      <c r="B55" s="15"/>
      <c r="C55" s="3"/>
    </row>
    <row r="56" spans="1:3" x14ac:dyDescent="0.25">
      <c r="A56" s="13"/>
      <c r="B56" s="15"/>
      <c r="C56" s="3"/>
    </row>
    <row r="57" spans="1:3" x14ac:dyDescent="0.25">
      <c r="A57" s="13"/>
      <c r="B57" s="15"/>
      <c r="C57" s="3"/>
    </row>
    <row r="58" spans="1:3" x14ac:dyDescent="0.25">
      <c r="A58" s="13"/>
      <c r="B58" s="15"/>
      <c r="C58" s="3"/>
    </row>
    <row r="59" spans="1:3" x14ac:dyDescent="0.25">
      <c r="A59" s="13"/>
      <c r="B59" s="15"/>
      <c r="C59" s="3"/>
    </row>
    <row r="60" spans="1:3" x14ac:dyDescent="0.25">
      <c r="A60" s="13"/>
      <c r="B60" s="15"/>
      <c r="C60" s="3"/>
    </row>
    <row r="61" spans="1:3" x14ac:dyDescent="0.25">
      <c r="A61" s="13"/>
      <c r="B61" s="15"/>
      <c r="C61" s="3"/>
    </row>
    <row r="62" spans="1:3" x14ac:dyDescent="0.25">
      <c r="A62" s="13"/>
      <c r="B62" s="15"/>
      <c r="C62" s="3"/>
    </row>
    <row r="63" spans="1:3" x14ac:dyDescent="0.25">
      <c r="A63" s="13"/>
      <c r="B63" s="15"/>
      <c r="C63" s="3"/>
    </row>
    <row r="64" spans="1:3" x14ac:dyDescent="0.25">
      <c r="A64" s="13"/>
      <c r="B64" s="15"/>
      <c r="C64" s="3"/>
    </row>
    <row r="65" spans="1:3" x14ac:dyDescent="0.25">
      <c r="A65" s="13"/>
      <c r="B65" s="15"/>
      <c r="C65" s="3"/>
    </row>
    <row r="66" spans="1:3" x14ac:dyDescent="0.25">
      <c r="A66" s="13"/>
      <c r="B66" s="15"/>
      <c r="C66" s="3"/>
    </row>
    <row r="67" spans="1:3" x14ac:dyDescent="0.25">
      <c r="A67" s="13"/>
      <c r="B67" s="15"/>
      <c r="C67" s="3"/>
    </row>
    <row r="68" spans="1:3" x14ac:dyDescent="0.25">
      <c r="A68" s="13"/>
      <c r="B68" s="15"/>
      <c r="C68" s="3"/>
    </row>
    <row r="69" spans="1:3" x14ac:dyDescent="0.25">
      <c r="A69" s="13"/>
      <c r="B69" s="15"/>
      <c r="C69" s="3"/>
    </row>
    <row r="70" spans="1:3" x14ac:dyDescent="0.25">
      <c r="A70" s="13"/>
      <c r="B70" s="15"/>
      <c r="C70" s="3"/>
    </row>
    <row r="71" spans="1:3" x14ac:dyDescent="0.25">
      <c r="A71" s="13"/>
      <c r="B71" s="15"/>
      <c r="C71" s="3"/>
    </row>
    <row r="72" spans="1:3" x14ac:dyDescent="0.25">
      <c r="A72" s="13"/>
      <c r="B72" s="15"/>
      <c r="C72" s="3"/>
    </row>
    <row r="73" spans="1:3" x14ac:dyDescent="0.25">
      <c r="A73" s="13"/>
      <c r="B73" s="15"/>
      <c r="C73" s="3"/>
    </row>
    <row r="74" spans="1:3" x14ac:dyDescent="0.25">
      <c r="A74" s="13"/>
      <c r="B74" s="15"/>
      <c r="C74" s="3"/>
    </row>
    <row r="75" spans="1:3" x14ac:dyDescent="0.25">
      <c r="A75" s="13"/>
      <c r="B75" s="15"/>
      <c r="C75" s="3"/>
    </row>
    <row r="76" spans="1:3" x14ac:dyDescent="0.25">
      <c r="A76" s="13"/>
      <c r="B76" s="15"/>
      <c r="C76" s="3"/>
    </row>
    <row r="77" spans="1:3" x14ac:dyDescent="0.25">
      <c r="A77" s="13"/>
      <c r="B77" s="15"/>
      <c r="C77" s="3"/>
    </row>
    <row r="78" spans="1:3" x14ac:dyDescent="0.25">
      <c r="A78" s="13"/>
      <c r="B78" s="15"/>
      <c r="C78" s="3"/>
    </row>
    <row r="79" spans="1:3" x14ac:dyDescent="0.25">
      <c r="A79" s="13"/>
      <c r="B79" s="15"/>
      <c r="C79" s="3"/>
    </row>
    <row r="80" spans="1:3" x14ac:dyDescent="0.25">
      <c r="A80" s="13"/>
      <c r="B80" s="15"/>
      <c r="C80" s="3"/>
    </row>
    <row r="81" spans="1:3" x14ac:dyDescent="0.25">
      <c r="A81" s="13"/>
      <c r="B81" s="15"/>
      <c r="C81" s="3"/>
    </row>
    <row r="82" spans="1:3" x14ac:dyDescent="0.25">
      <c r="A82" s="13"/>
      <c r="B82" s="15"/>
      <c r="C82" s="3"/>
    </row>
    <row r="83" spans="1:3" x14ac:dyDescent="0.25">
      <c r="A83" s="13"/>
      <c r="B83" s="15"/>
      <c r="C83" s="3"/>
    </row>
    <row r="84" spans="1:3" x14ac:dyDescent="0.25">
      <c r="A84" s="13"/>
      <c r="B84" s="15"/>
      <c r="C84" s="3"/>
    </row>
    <row r="85" spans="1:3" x14ac:dyDescent="0.25">
      <c r="A85" s="13"/>
      <c r="B85" s="15"/>
      <c r="C85" s="3"/>
    </row>
    <row r="86" spans="1:3" x14ac:dyDescent="0.25">
      <c r="A86" s="13"/>
      <c r="B86" s="15"/>
      <c r="C86" s="3"/>
    </row>
    <row r="87" spans="1:3" x14ac:dyDescent="0.25">
      <c r="A87" s="13"/>
      <c r="B87" s="15"/>
      <c r="C87" s="3"/>
    </row>
    <row r="88" spans="1:3" x14ac:dyDescent="0.25">
      <c r="A88" s="13"/>
      <c r="B88" s="15"/>
      <c r="C88" s="3"/>
    </row>
    <row r="89" spans="1:3" x14ac:dyDescent="0.25">
      <c r="A89" s="13"/>
      <c r="B89" s="15"/>
      <c r="C89" s="3"/>
    </row>
    <row r="90" spans="1:3" x14ac:dyDescent="0.25">
      <c r="A90" s="13"/>
      <c r="B90" s="15"/>
      <c r="C90" s="3"/>
    </row>
    <row r="91" spans="1:3" x14ac:dyDescent="0.25">
      <c r="A91" s="13"/>
      <c r="B91" s="15"/>
      <c r="C91" s="3"/>
    </row>
    <row r="92" spans="1:3" x14ac:dyDescent="0.25">
      <c r="A92" s="13"/>
      <c r="B92" s="15"/>
      <c r="C92" s="3"/>
    </row>
    <row r="93" spans="1:3" x14ac:dyDescent="0.25">
      <c r="A93" s="13"/>
      <c r="B93" s="15"/>
      <c r="C93" s="3"/>
    </row>
    <row r="94" spans="1:3" x14ac:dyDescent="0.25">
      <c r="A94" s="13"/>
      <c r="B94" s="15"/>
      <c r="C94" s="3"/>
    </row>
    <row r="95" spans="1:3" x14ac:dyDescent="0.25">
      <c r="A95" s="13"/>
      <c r="B95" s="15"/>
      <c r="C95" s="3"/>
    </row>
    <row r="96" spans="1:3" x14ac:dyDescent="0.25">
      <c r="A96" s="13"/>
      <c r="B96" s="15"/>
      <c r="C96" s="3"/>
    </row>
    <row r="97" spans="1:3" x14ac:dyDescent="0.25">
      <c r="A97" s="13"/>
      <c r="B97" s="15"/>
      <c r="C97" s="3"/>
    </row>
    <row r="98" spans="1:3" x14ac:dyDescent="0.25">
      <c r="A98" s="13"/>
      <c r="B98" s="15"/>
      <c r="C98" s="3"/>
    </row>
    <row r="99" spans="1:3" x14ac:dyDescent="0.25">
      <c r="A99" s="13"/>
      <c r="B99" s="15"/>
      <c r="C99" s="3"/>
    </row>
    <row r="100" spans="1:3" x14ac:dyDescent="0.25">
      <c r="A100" s="13"/>
      <c r="B100" s="15"/>
      <c r="C100" s="3"/>
    </row>
    <row r="101" spans="1:3" x14ac:dyDescent="0.25">
      <c r="A101" s="13"/>
      <c r="B101" s="15"/>
      <c r="C101" s="3"/>
    </row>
    <row r="102" spans="1:3" x14ac:dyDescent="0.25">
      <c r="A102" s="13"/>
      <c r="B102" s="15"/>
      <c r="C102" s="3"/>
    </row>
    <row r="103" spans="1:3" x14ac:dyDescent="0.25">
      <c r="A103" s="13"/>
      <c r="B103" s="15"/>
      <c r="C103" s="3"/>
    </row>
    <row r="104" spans="1:3" x14ac:dyDescent="0.25">
      <c r="A104" s="13"/>
      <c r="B104" s="15"/>
      <c r="C104" s="3"/>
    </row>
    <row r="105" spans="1:3" x14ac:dyDescent="0.25">
      <c r="A105" s="13"/>
      <c r="B105" s="15"/>
      <c r="C105" s="3"/>
    </row>
    <row r="106" spans="1:3" x14ac:dyDescent="0.25">
      <c r="A106" s="13"/>
      <c r="B106" s="15"/>
      <c r="C106" s="3"/>
    </row>
    <row r="107" spans="1:3" x14ac:dyDescent="0.25">
      <c r="A107" s="13"/>
      <c r="B107" s="15"/>
      <c r="C107" s="3"/>
    </row>
    <row r="108" spans="1:3" x14ac:dyDescent="0.25">
      <c r="A108" s="13"/>
      <c r="B108" s="15"/>
      <c r="C108" s="3"/>
    </row>
    <row r="109" spans="1:3" x14ac:dyDescent="0.25">
      <c r="A109" s="13"/>
      <c r="B109" s="15"/>
      <c r="C109" s="3"/>
    </row>
    <row r="110" spans="1:3" x14ac:dyDescent="0.25">
      <c r="A110" s="13"/>
      <c r="B110" s="15"/>
      <c r="C110" s="3"/>
    </row>
    <row r="111" spans="1:3" x14ac:dyDescent="0.25">
      <c r="A111" s="13"/>
      <c r="B111" s="15"/>
      <c r="C111" s="3"/>
    </row>
    <row r="112" spans="1:3" x14ac:dyDescent="0.25">
      <c r="A112" s="13"/>
      <c r="B112" s="15"/>
      <c r="C112" s="3"/>
    </row>
    <row r="113" spans="1:3" x14ac:dyDescent="0.25">
      <c r="A113" s="13"/>
      <c r="B113" s="15"/>
      <c r="C113" s="3"/>
    </row>
    <row r="114" spans="1:3" x14ac:dyDescent="0.25">
      <c r="A114" s="13"/>
      <c r="B114" s="15"/>
      <c r="C114" s="3"/>
    </row>
    <row r="115" spans="1:3" x14ac:dyDescent="0.25">
      <c r="A115" s="13"/>
      <c r="B115" s="15"/>
      <c r="C115" s="3"/>
    </row>
    <row r="116" spans="1:3" x14ac:dyDescent="0.25">
      <c r="A116" s="13"/>
      <c r="B116" s="15"/>
      <c r="C116" s="3"/>
    </row>
    <row r="117" spans="1:3" x14ac:dyDescent="0.25">
      <c r="A117" s="13"/>
      <c r="B117" s="15"/>
      <c r="C117" s="3"/>
    </row>
    <row r="118" spans="1:3" x14ac:dyDescent="0.25">
      <c r="A118" s="13"/>
      <c r="B118" s="15"/>
      <c r="C118" s="3"/>
    </row>
    <row r="119" spans="1:3" x14ac:dyDescent="0.25">
      <c r="A119" s="13"/>
      <c r="B119" s="15"/>
      <c r="C119" s="3"/>
    </row>
    <row r="120" spans="1:3" x14ac:dyDescent="0.25">
      <c r="A120" s="13"/>
      <c r="B120" s="15"/>
      <c r="C120" s="3"/>
    </row>
    <row r="121" spans="1:3" x14ac:dyDescent="0.25">
      <c r="A121" s="13"/>
      <c r="B121" s="15"/>
      <c r="C121" s="3"/>
    </row>
    <row r="122" spans="1:3" x14ac:dyDescent="0.25">
      <c r="A122" s="13"/>
      <c r="B122" s="15"/>
      <c r="C122" s="3"/>
    </row>
    <row r="123" spans="1:3" x14ac:dyDescent="0.25">
      <c r="A123" s="13"/>
      <c r="B123" s="15"/>
      <c r="C123" s="3"/>
    </row>
    <row r="124" spans="1:3" x14ac:dyDescent="0.25">
      <c r="A124" s="13"/>
      <c r="B124" s="15"/>
      <c r="C124" s="3"/>
    </row>
    <row r="125" spans="1:3" x14ac:dyDescent="0.25">
      <c r="A125" s="13"/>
      <c r="B125" s="15"/>
      <c r="C125" s="3"/>
    </row>
    <row r="126" spans="1:3" x14ac:dyDescent="0.25">
      <c r="A126" s="13"/>
      <c r="B126" s="15"/>
      <c r="C126" s="3"/>
    </row>
    <row r="127" spans="1:3" x14ac:dyDescent="0.25">
      <c r="A127" s="13"/>
      <c r="B127" s="15"/>
      <c r="C127" s="3"/>
    </row>
    <row r="128" spans="1:3" x14ac:dyDescent="0.25">
      <c r="A128" s="13"/>
      <c r="B128" s="15"/>
      <c r="C128" s="3"/>
    </row>
    <row r="129" spans="1:3" x14ac:dyDescent="0.25">
      <c r="A129" s="13"/>
      <c r="B129" s="15"/>
      <c r="C129" s="3"/>
    </row>
    <row r="130" spans="1:3" x14ac:dyDescent="0.25">
      <c r="A130" s="13"/>
      <c r="B130" s="15"/>
      <c r="C130" s="3"/>
    </row>
    <row r="131" spans="1:3" x14ac:dyDescent="0.25">
      <c r="A131" s="13"/>
      <c r="B131" s="15"/>
      <c r="C131" s="3"/>
    </row>
    <row r="132" spans="1:3" x14ac:dyDescent="0.25">
      <c r="A132" s="13"/>
      <c r="B132" s="15"/>
      <c r="C132" s="3"/>
    </row>
    <row r="133" spans="1:3" x14ac:dyDescent="0.25">
      <c r="A133" s="13"/>
      <c r="B133" s="15"/>
      <c r="C133" s="3"/>
    </row>
    <row r="134" spans="1:3" x14ac:dyDescent="0.25">
      <c r="A134" s="13"/>
      <c r="B134" s="15"/>
      <c r="C134" s="3"/>
    </row>
    <row r="135" spans="1:3" x14ac:dyDescent="0.25">
      <c r="A135" s="13"/>
      <c r="B135" s="15"/>
      <c r="C135" s="3"/>
    </row>
    <row r="136" spans="1:3" x14ac:dyDescent="0.25">
      <c r="A136" s="13"/>
      <c r="B136" s="15"/>
      <c r="C136" s="3"/>
    </row>
    <row r="137" spans="1:3" x14ac:dyDescent="0.25">
      <c r="A137" s="13"/>
      <c r="B137" s="15"/>
      <c r="C137" s="3"/>
    </row>
    <row r="138" spans="1:3" x14ac:dyDescent="0.25">
      <c r="A138" s="13"/>
      <c r="B138" s="15"/>
      <c r="C138" s="3"/>
    </row>
    <row r="139" spans="1:3" x14ac:dyDescent="0.25">
      <c r="A139" s="13"/>
      <c r="B139" s="15"/>
      <c r="C139" s="3"/>
    </row>
    <row r="140" spans="1:3" x14ac:dyDescent="0.25">
      <c r="A140" s="13"/>
      <c r="B140" s="15"/>
      <c r="C140" s="3"/>
    </row>
    <row r="141" spans="1:3" x14ac:dyDescent="0.25">
      <c r="A141" s="13"/>
      <c r="B141" s="15"/>
      <c r="C141" s="3"/>
    </row>
    <row r="142" spans="1:3" x14ac:dyDescent="0.25">
      <c r="A142" s="13"/>
      <c r="B142" s="15"/>
      <c r="C142" s="3"/>
    </row>
    <row r="143" spans="1:3" x14ac:dyDescent="0.25">
      <c r="A143" s="13"/>
      <c r="B143" s="15"/>
      <c r="C143" s="3"/>
    </row>
    <row r="144" spans="1:3" x14ac:dyDescent="0.25">
      <c r="A144" s="13"/>
      <c r="B144" s="15"/>
      <c r="C144" s="3"/>
    </row>
    <row r="145" spans="1:3" x14ac:dyDescent="0.25">
      <c r="A145" s="13"/>
      <c r="B145" s="15"/>
      <c r="C145" s="3"/>
    </row>
    <row r="146" spans="1:3" x14ac:dyDescent="0.25">
      <c r="A146" s="13"/>
      <c r="B146" s="15"/>
      <c r="C146" s="3"/>
    </row>
    <row r="147" spans="1:3" x14ac:dyDescent="0.25">
      <c r="A147" s="13"/>
      <c r="B147" s="15"/>
      <c r="C147" s="3"/>
    </row>
    <row r="148" spans="1:3" x14ac:dyDescent="0.25">
      <c r="A148" s="13"/>
      <c r="B148" s="15"/>
      <c r="C148" s="3"/>
    </row>
    <row r="149" spans="1:3" x14ac:dyDescent="0.25">
      <c r="A149" s="13"/>
      <c r="B149" s="15"/>
      <c r="C149" s="3"/>
    </row>
    <row r="150" spans="1:3" x14ac:dyDescent="0.25">
      <c r="A150" s="13"/>
      <c r="B150" s="15"/>
      <c r="C150" s="3"/>
    </row>
    <row r="151" spans="1:3" x14ac:dyDescent="0.25">
      <c r="A151" s="13"/>
      <c r="B151" s="15"/>
      <c r="C151" s="3"/>
    </row>
    <row r="152" spans="1:3" x14ac:dyDescent="0.25">
      <c r="A152" s="13"/>
      <c r="B152" s="15"/>
      <c r="C152" s="3"/>
    </row>
    <row r="153" spans="1:3" x14ac:dyDescent="0.25">
      <c r="A153" s="13"/>
      <c r="B153" s="15"/>
      <c r="C153" s="3"/>
    </row>
    <row r="154" spans="1:3" x14ac:dyDescent="0.25">
      <c r="A154" s="13"/>
      <c r="B154" s="15"/>
      <c r="C154" s="3"/>
    </row>
    <row r="155" spans="1:3" x14ac:dyDescent="0.25">
      <c r="A155" s="13"/>
      <c r="B155" s="15"/>
      <c r="C155" s="3"/>
    </row>
    <row r="156" spans="1:3" x14ac:dyDescent="0.25">
      <c r="A156" s="13"/>
      <c r="B156" s="15"/>
      <c r="C156" s="3"/>
    </row>
    <row r="157" spans="1:3" x14ac:dyDescent="0.25">
      <c r="A157" s="13"/>
      <c r="B157" s="15"/>
      <c r="C157" s="3"/>
    </row>
    <row r="158" spans="1:3" x14ac:dyDescent="0.25">
      <c r="A158" s="13"/>
      <c r="B158" s="15"/>
      <c r="C158" s="3"/>
    </row>
    <row r="159" spans="1:3" x14ac:dyDescent="0.25">
      <c r="A159" s="13"/>
      <c r="B159" s="15"/>
      <c r="C159" s="3"/>
    </row>
    <row r="160" spans="1:3" x14ac:dyDescent="0.25">
      <c r="A160" s="13"/>
      <c r="B160" s="15"/>
      <c r="C160" s="3"/>
    </row>
    <row r="161" spans="1:3" x14ac:dyDescent="0.25">
      <c r="A161" s="13"/>
      <c r="B161" s="15"/>
      <c r="C161" s="3"/>
    </row>
    <row r="162" spans="1:3" x14ac:dyDescent="0.25">
      <c r="A162" s="13"/>
      <c r="B162" s="15"/>
      <c r="C162" s="3"/>
    </row>
    <row r="163" spans="1:3" x14ac:dyDescent="0.25">
      <c r="A163" s="13"/>
      <c r="B163" s="15"/>
      <c r="C163" s="3"/>
    </row>
    <row r="164" spans="1:3" x14ac:dyDescent="0.25">
      <c r="A164" s="13"/>
      <c r="B164" s="15"/>
      <c r="C164" s="3"/>
    </row>
    <row r="165" spans="1:3" x14ac:dyDescent="0.25">
      <c r="A165" s="13"/>
      <c r="B165" s="15"/>
      <c r="C165" s="3"/>
    </row>
    <row r="166" spans="1:3" x14ac:dyDescent="0.25">
      <c r="A166" s="13"/>
      <c r="B166" s="15"/>
      <c r="C166" s="3"/>
    </row>
    <row r="167" spans="1:3" x14ac:dyDescent="0.25">
      <c r="A167" s="13"/>
      <c r="B167" s="15"/>
      <c r="C167" s="3"/>
    </row>
    <row r="168" spans="1:3" x14ac:dyDescent="0.25">
      <c r="A168" s="13"/>
      <c r="B168" s="15"/>
      <c r="C168" s="3"/>
    </row>
    <row r="169" spans="1:3" x14ac:dyDescent="0.25">
      <c r="A169" s="13"/>
      <c r="B169" s="15"/>
      <c r="C169" s="3"/>
    </row>
    <row r="170" spans="1:3" x14ac:dyDescent="0.25">
      <c r="A170" s="13"/>
      <c r="B170" s="15"/>
      <c r="C170" s="3"/>
    </row>
    <row r="171" spans="1:3" x14ac:dyDescent="0.25">
      <c r="A171" s="13"/>
      <c r="B171" s="15"/>
      <c r="C171" s="3"/>
    </row>
    <row r="172" spans="1:3" x14ac:dyDescent="0.25">
      <c r="A172" s="13"/>
      <c r="B172" s="15"/>
      <c r="C172" s="3"/>
    </row>
    <row r="173" spans="1:3" x14ac:dyDescent="0.25">
      <c r="A173" s="13"/>
      <c r="B173" s="15"/>
      <c r="C173" s="3"/>
    </row>
    <row r="174" spans="1:3" x14ac:dyDescent="0.25">
      <c r="A174" s="13"/>
      <c r="B174" s="15"/>
      <c r="C174" s="3"/>
    </row>
    <row r="175" spans="1:3" x14ac:dyDescent="0.25">
      <c r="A175" s="13"/>
      <c r="B175" s="15"/>
      <c r="C175" s="3"/>
    </row>
    <row r="176" spans="1:3" x14ac:dyDescent="0.25">
      <c r="A176" s="13"/>
      <c r="B176" s="15"/>
      <c r="C176" s="3"/>
    </row>
    <row r="177" spans="1:3" x14ac:dyDescent="0.25">
      <c r="A177" s="13"/>
      <c r="B177" s="15"/>
      <c r="C177" s="3"/>
    </row>
    <row r="178" spans="1:3" x14ac:dyDescent="0.25">
      <c r="A178" s="13"/>
      <c r="B178" s="15"/>
      <c r="C178" s="3"/>
    </row>
    <row r="179" spans="1:3" x14ac:dyDescent="0.25">
      <c r="A179" s="13"/>
      <c r="B179" s="15"/>
      <c r="C179" s="3"/>
    </row>
    <row r="180" spans="1:3" x14ac:dyDescent="0.25">
      <c r="A180" s="13"/>
      <c r="B180" s="15"/>
      <c r="C180" s="3"/>
    </row>
    <row r="181" spans="1:3" x14ac:dyDescent="0.25">
      <c r="A181" s="13"/>
      <c r="B181" s="15"/>
      <c r="C181" s="3"/>
    </row>
    <row r="182" spans="1:3" x14ac:dyDescent="0.25">
      <c r="A182" s="13"/>
      <c r="B182" s="15"/>
      <c r="C182" s="3"/>
    </row>
    <row r="183" spans="1:3" x14ac:dyDescent="0.25">
      <c r="A183" s="13"/>
      <c r="B183" s="15"/>
      <c r="C183" s="3"/>
    </row>
    <row r="184" spans="1:3" x14ac:dyDescent="0.25">
      <c r="A184" s="13"/>
      <c r="B184" s="15"/>
      <c r="C184" s="3"/>
    </row>
    <row r="185" spans="1:3" x14ac:dyDescent="0.25">
      <c r="A185" s="13"/>
      <c r="B185" s="15"/>
      <c r="C185" s="3"/>
    </row>
    <row r="186" spans="1:3" x14ac:dyDescent="0.25">
      <c r="A186" s="13"/>
      <c r="B186" s="15"/>
      <c r="C186" s="3"/>
    </row>
    <row r="187" spans="1:3" x14ac:dyDescent="0.25">
      <c r="A187" s="13"/>
      <c r="B187" s="15"/>
      <c r="C187" s="3"/>
    </row>
    <row r="188" spans="1:3" x14ac:dyDescent="0.25">
      <c r="A188" s="13"/>
      <c r="B188" s="15"/>
      <c r="C188" s="3"/>
    </row>
    <row r="189" spans="1:3" x14ac:dyDescent="0.25">
      <c r="A189" s="13"/>
      <c r="B189" s="15"/>
      <c r="C189" s="3"/>
    </row>
    <row r="190" spans="1:3" x14ac:dyDescent="0.25">
      <c r="A190" s="13"/>
      <c r="B190" s="15"/>
      <c r="C190" s="3"/>
    </row>
    <row r="191" spans="1:3" x14ac:dyDescent="0.25">
      <c r="A191" s="13"/>
      <c r="B191" s="15"/>
      <c r="C191" s="3"/>
    </row>
    <row r="192" spans="1:3" x14ac:dyDescent="0.25">
      <c r="A192" s="13"/>
      <c r="B192" s="15"/>
      <c r="C192" s="3"/>
    </row>
    <row r="193" spans="1:3" x14ac:dyDescent="0.25">
      <c r="A193" s="13"/>
      <c r="B193" s="15"/>
      <c r="C193" s="3"/>
    </row>
    <row r="194" spans="1:3" x14ac:dyDescent="0.25">
      <c r="A194" s="13"/>
      <c r="B194" s="15"/>
      <c r="C194" s="3"/>
    </row>
    <row r="195" spans="1:3" x14ac:dyDescent="0.25">
      <c r="A195" s="13"/>
      <c r="B195" s="15"/>
      <c r="C195" s="3"/>
    </row>
    <row r="196" spans="1:3" x14ac:dyDescent="0.25">
      <c r="A196" s="13"/>
      <c r="B196" s="15"/>
      <c r="C196" s="3"/>
    </row>
    <row r="197" spans="1:3" x14ac:dyDescent="0.25">
      <c r="A197" s="13"/>
      <c r="B197" s="15"/>
      <c r="C197" s="3"/>
    </row>
    <row r="198" spans="1:3" x14ac:dyDescent="0.25">
      <c r="A198" s="13"/>
      <c r="B198" s="15"/>
      <c r="C198" s="3"/>
    </row>
    <row r="199" spans="1:3" x14ac:dyDescent="0.25">
      <c r="A199" s="13"/>
      <c r="B199" s="15"/>
      <c r="C199" s="3"/>
    </row>
    <row r="200" spans="1:3" x14ac:dyDescent="0.25">
      <c r="A200" s="13"/>
      <c r="B200" s="15"/>
      <c r="C200" s="3"/>
    </row>
    <row r="201" spans="1:3" x14ac:dyDescent="0.25">
      <c r="A201" s="13"/>
      <c r="B201" s="15"/>
      <c r="C201" s="3"/>
    </row>
    <row r="202" spans="1:3" x14ac:dyDescent="0.25">
      <c r="A202" s="13"/>
      <c r="B202" s="15"/>
      <c r="C202" s="3"/>
    </row>
    <row r="203" spans="1:3" x14ac:dyDescent="0.25">
      <c r="A203" s="13"/>
      <c r="B203" s="15"/>
      <c r="C203" s="3"/>
    </row>
    <row r="204" spans="1:3" x14ac:dyDescent="0.25">
      <c r="A204" s="13"/>
      <c r="B204" s="15"/>
      <c r="C204" s="3"/>
    </row>
    <row r="205" spans="1:3" x14ac:dyDescent="0.25">
      <c r="A205" s="13"/>
      <c r="B205" s="15"/>
      <c r="C205" s="3"/>
    </row>
    <row r="206" spans="1:3" x14ac:dyDescent="0.25">
      <c r="A206" s="13"/>
      <c r="B206" s="15"/>
      <c r="C206" s="3"/>
    </row>
    <row r="207" spans="1:3" x14ac:dyDescent="0.25">
      <c r="A207" s="13"/>
      <c r="B207" s="15"/>
      <c r="C207" s="3"/>
    </row>
    <row r="208" spans="1:3" x14ac:dyDescent="0.25">
      <c r="A208" s="13"/>
      <c r="B208" s="15"/>
      <c r="C208" s="3"/>
    </row>
    <row r="209" spans="1:3" x14ac:dyDescent="0.25">
      <c r="A209" s="13"/>
      <c r="B209" s="15"/>
      <c r="C209" s="3"/>
    </row>
    <row r="210" spans="1:3" x14ac:dyDescent="0.25">
      <c r="A210" s="13"/>
      <c r="B210" s="15"/>
      <c r="C210" s="3"/>
    </row>
    <row r="211" spans="1:3" x14ac:dyDescent="0.25">
      <c r="A211" s="13"/>
      <c r="B211" s="15"/>
      <c r="C211" s="3"/>
    </row>
    <row r="212" spans="1:3" x14ac:dyDescent="0.25">
      <c r="A212" s="13"/>
      <c r="B212" s="15"/>
      <c r="C212" s="3"/>
    </row>
    <row r="213" spans="1:3" x14ac:dyDescent="0.25">
      <c r="A213" s="13"/>
      <c r="B213" s="15"/>
      <c r="C213" s="3"/>
    </row>
    <row r="214" spans="1:3" x14ac:dyDescent="0.25">
      <c r="A214" s="13"/>
      <c r="B214" s="15"/>
      <c r="C214" s="3"/>
    </row>
    <row r="215" spans="1:3" x14ac:dyDescent="0.25">
      <c r="A215" s="13"/>
      <c r="B215" s="15"/>
      <c r="C215" s="3"/>
    </row>
    <row r="216" spans="1:3" x14ac:dyDescent="0.25">
      <c r="A216" s="13"/>
      <c r="B216" s="15"/>
      <c r="C216" s="3"/>
    </row>
    <row r="217" spans="1:3" x14ac:dyDescent="0.25">
      <c r="A217" s="13"/>
      <c r="B217" s="15"/>
      <c r="C217" s="3"/>
    </row>
    <row r="218" spans="1:3" x14ac:dyDescent="0.25">
      <c r="A218" s="13"/>
      <c r="B218" s="15"/>
      <c r="C218" s="3"/>
    </row>
    <row r="219" spans="1:3" x14ac:dyDescent="0.25">
      <c r="A219" s="13"/>
      <c r="B219" s="15"/>
      <c r="C219" s="3"/>
    </row>
    <row r="220" spans="1:3" x14ac:dyDescent="0.25">
      <c r="A220" s="13"/>
      <c r="B220" s="15"/>
      <c r="C220" s="3"/>
    </row>
    <row r="221" spans="1:3" x14ac:dyDescent="0.25">
      <c r="A221" s="13"/>
      <c r="B221" s="15"/>
      <c r="C221" s="3"/>
    </row>
    <row r="222" spans="1:3" x14ac:dyDescent="0.25">
      <c r="A222" s="13"/>
      <c r="B222" s="15"/>
      <c r="C222" s="3"/>
    </row>
    <row r="223" spans="1:3" x14ac:dyDescent="0.25">
      <c r="A223" s="13"/>
      <c r="B223" s="15"/>
      <c r="C223" s="3"/>
    </row>
    <row r="224" spans="1:3" x14ac:dyDescent="0.25">
      <c r="A224" s="13"/>
      <c r="B224" s="15"/>
      <c r="C224" s="3"/>
    </row>
    <row r="225" spans="1:3" x14ac:dyDescent="0.25">
      <c r="A225" s="13"/>
      <c r="B225" s="15"/>
      <c r="C225" s="3"/>
    </row>
    <row r="226" spans="1:3" x14ac:dyDescent="0.25">
      <c r="A226" s="13"/>
      <c r="B226" s="15"/>
      <c r="C226" s="3"/>
    </row>
    <row r="227" spans="1:3" x14ac:dyDescent="0.25">
      <c r="A227" s="13"/>
      <c r="B227" s="15"/>
      <c r="C227" s="3"/>
    </row>
    <row r="228" spans="1:3" x14ac:dyDescent="0.25">
      <c r="A228" s="13"/>
      <c r="B228" s="15"/>
      <c r="C228" s="3"/>
    </row>
    <row r="229" spans="1:3" x14ac:dyDescent="0.25">
      <c r="A229" s="13"/>
      <c r="B229" s="15"/>
      <c r="C229" s="3"/>
    </row>
    <row r="230" spans="1:3" x14ac:dyDescent="0.25">
      <c r="A230" s="13"/>
      <c r="B230" s="15"/>
      <c r="C230" s="3"/>
    </row>
    <row r="231" spans="1:3" x14ac:dyDescent="0.25">
      <c r="A231" s="13"/>
      <c r="B231" s="15"/>
      <c r="C231" s="3"/>
    </row>
    <row r="232" spans="1:3" x14ac:dyDescent="0.25">
      <c r="A232" s="13"/>
      <c r="B232" s="15"/>
      <c r="C232" s="3"/>
    </row>
    <row r="233" spans="1:3" x14ac:dyDescent="0.25">
      <c r="A233" s="13"/>
      <c r="B233" s="15"/>
      <c r="C233" s="3"/>
    </row>
    <row r="234" spans="1:3" x14ac:dyDescent="0.25">
      <c r="A234" s="13"/>
      <c r="B234" s="15"/>
      <c r="C234" s="3"/>
    </row>
    <row r="235" spans="1:3" x14ac:dyDescent="0.25">
      <c r="A235" s="13"/>
      <c r="B235" s="15"/>
      <c r="C235" s="3"/>
    </row>
    <row r="236" spans="1:3" x14ac:dyDescent="0.25">
      <c r="A236" s="13"/>
      <c r="B236" s="15"/>
      <c r="C236" s="3"/>
    </row>
    <row r="237" spans="1:3" x14ac:dyDescent="0.25">
      <c r="A237" s="13"/>
      <c r="B237" s="15"/>
      <c r="C237" s="3"/>
    </row>
    <row r="238" spans="1:3" x14ac:dyDescent="0.25">
      <c r="A238" s="13"/>
      <c r="B238" s="15"/>
      <c r="C238" s="3"/>
    </row>
    <row r="239" spans="1:3" x14ac:dyDescent="0.25">
      <c r="A239" s="13"/>
      <c r="B239" s="15"/>
      <c r="C239" s="3"/>
    </row>
    <row r="240" spans="1:3" x14ac:dyDescent="0.25">
      <c r="A240" s="13"/>
      <c r="B240" s="15"/>
      <c r="C240" s="3"/>
    </row>
    <row r="241" spans="1:3" x14ac:dyDescent="0.25">
      <c r="A241" s="13"/>
      <c r="B241" s="15"/>
      <c r="C241" s="3"/>
    </row>
    <row r="242" spans="1:3" x14ac:dyDescent="0.25">
      <c r="A242" s="13"/>
      <c r="B242" s="15"/>
      <c r="C242" s="3"/>
    </row>
    <row r="243" spans="1:3" x14ac:dyDescent="0.25">
      <c r="A243" s="13"/>
      <c r="B243" s="15"/>
      <c r="C243" s="3"/>
    </row>
    <row r="244" spans="1:3" x14ac:dyDescent="0.25">
      <c r="A244" s="13"/>
      <c r="B244" s="15"/>
      <c r="C244" s="3"/>
    </row>
    <row r="245" spans="1:3" x14ac:dyDescent="0.25">
      <c r="A245" s="13"/>
      <c r="B245" s="15"/>
      <c r="C245" s="3"/>
    </row>
    <row r="246" spans="1:3" x14ac:dyDescent="0.25">
      <c r="A246" s="13"/>
      <c r="B246" s="15"/>
      <c r="C246" s="3"/>
    </row>
    <row r="247" spans="1:3" x14ac:dyDescent="0.25">
      <c r="A247" s="13"/>
      <c r="B247" s="15"/>
      <c r="C247" s="3"/>
    </row>
    <row r="248" spans="1:3" x14ac:dyDescent="0.25">
      <c r="A248" s="13"/>
      <c r="B248" s="15"/>
      <c r="C248" s="3"/>
    </row>
    <row r="249" spans="1:3" x14ac:dyDescent="0.25">
      <c r="A249" s="13"/>
      <c r="B249" s="15"/>
      <c r="C249" s="3"/>
    </row>
    <row r="250" spans="1:3" x14ac:dyDescent="0.25">
      <c r="A250" s="13"/>
      <c r="B250" s="15"/>
      <c r="C250" s="3"/>
    </row>
    <row r="251" spans="1:3" x14ac:dyDescent="0.25">
      <c r="A251" s="13"/>
      <c r="B251" s="15"/>
      <c r="C251" s="3"/>
    </row>
    <row r="252" spans="1:3" x14ac:dyDescent="0.25">
      <c r="A252" s="13"/>
      <c r="B252" s="15"/>
      <c r="C252" s="3"/>
    </row>
    <row r="253" spans="1:3" x14ac:dyDescent="0.25">
      <c r="A253" s="13"/>
      <c r="B253" s="15"/>
      <c r="C253" s="3"/>
    </row>
    <row r="254" spans="1:3" x14ac:dyDescent="0.25">
      <c r="A254" s="13"/>
      <c r="B254" s="15"/>
      <c r="C254" s="3"/>
    </row>
    <row r="255" spans="1:3" x14ac:dyDescent="0.25">
      <c r="A255" s="13"/>
      <c r="B255" s="15"/>
      <c r="C255" s="3"/>
    </row>
    <row r="256" spans="1:3" x14ac:dyDescent="0.25">
      <c r="A256" s="13"/>
      <c r="B256" s="15"/>
      <c r="C256" s="3"/>
    </row>
    <row r="257" spans="1:3" x14ac:dyDescent="0.25">
      <c r="A257" s="13"/>
      <c r="B257" s="15"/>
      <c r="C257" s="3"/>
    </row>
    <row r="258" spans="1:3" x14ac:dyDescent="0.25">
      <c r="A258" s="13"/>
      <c r="B258" s="15"/>
      <c r="C258" s="3"/>
    </row>
    <row r="259" spans="1:3" x14ac:dyDescent="0.25">
      <c r="A259" s="13"/>
      <c r="B259" s="15"/>
      <c r="C259" s="3"/>
    </row>
    <row r="260" spans="1:3" x14ac:dyDescent="0.25">
      <c r="A260" s="13"/>
      <c r="B260" s="15"/>
      <c r="C260" s="3"/>
    </row>
    <row r="261" spans="1:3" x14ac:dyDescent="0.25">
      <c r="A261" s="13"/>
      <c r="B261" s="15"/>
      <c r="C261" s="3"/>
    </row>
    <row r="262" spans="1:3" x14ac:dyDescent="0.25">
      <c r="A262" s="13"/>
      <c r="B262" s="15"/>
      <c r="C262" s="3"/>
    </row>
    <row r="263" spans="1:3" x14ac:dyDescent="0.25">
      <c r="A263" s="13"/>
      <c r="B263" s="15"/>
      <c r="C263" s="3"/>
    </row>
    <row r="264" spans="1:3" x14ac:dyDescent="0.25">
      <c r="A264" s="13"/>
      <c r="B264" s="15"/>
      <c r="C264" s="3"/>
    </row>
    <row r="265" spans="1:3" x14ac:dyDescent="0.25">
      <c r="A265" s="13"/>
      <c r="B265" s="15"/>
      <c r="C265" s="3"/>
    </row>
    <row r="266" spans="1:3" x14ac:dyDescent="0.25">
      <c r="A266" s="13"/>
      <c r="B266" s="15"/>
      <c r="C266" s="3"/>
    </row>
    <row r="267" spans="1:3" x14ac:dyDescent="0.25">
      <c r="A267" s="13"/>
      <c r="B267" s="15"/>
      <c r="C267" s="3"/>
    </row>
    <row r="268" spans="1:3" x14ac:dyDescent="0.25">
      <c r="A268" s="13"/>
      <c r="B268" s="15"/>
      <c r="C268" s="3"/>
    </row>
    <row r="269" spans="1:3" x14ac:dyDescent="0.25">
      <c r="A269" s="13"/>
      <c r="B269" s="15"/>
      <c r="C269" s="3"/>
    </row>
    <row r="270" spans="1:3" x14ac:dyDescent="0.25">
      <c r="A270" s="13"/>
      <c r="B270" s="15"/>
      <c r="C270" s="3"/>
    </row>
    <row r="271" spans="1:3" x14ac:dyDescent="0.25">
      <c r="A271" s="13"/>
      <c r="B271" s="15"/>
      <c r="C271" s="3"/>
    </row>
    <row r="272" spans="1:3" x14ac:dyDescent="0.25">
      <c r="A272" s="13"/>
      <c r="B272" s="15"/>
      <c r="C272" s="3"/>
    </row>
    <row r="273" spans="1:3" x14ac:dyDescent="0.25">
      <c r="A273" s="13"/>
      <c r="B273" s="15"/>
      <c r="C273" s="3"/>
    </row>
    <row r="274" spans="1:3" x14ac:dyDescent="0.25">
      <c r="A274" s="13"/>
      <c r="B274" s="15"/>
      <c r="C274" s="3"/>
    </row>
    <row r="275" spans="1:3" x14ac:dyDescent="0.25">
      <c r="A275" s="13"/>
      <c r="B275" s="15"/>
      <c r="C275" s="3"/>
    </row>
    <row r="276" spans="1:3" x14ac:dyDescent="0.25">
      <c r="A276" s="13"/>
      <c r="B276" s="15"/>
      <c r="C276" s="3"/>
    </row>
    <row r="277" spans="1:3" x14ac:dyDescent="0.25">
      <c r="A277" s="13"/>
      <c r="B277" s="15"/>
      <c r="C277" s="3"/>
    </row>
    <row r="278" spans="1:3" x14ac:dyDescent="0.25">
      <c r="A278" s="13"/>
      <c r="B278" s="15"/>
      <c r="C278" s="3"/>
    </row>
    <row r="279" spans="1:3" x14ac:dyDescent="0.25">
      <c r="A279" s="13"/>
      <c r="B279" s="15"/>
      <c r="C279" s="3"/>
    </row>
    <row r="280" spans="1:3" x14ac:dyDescent="0.25">
      <c r="A280" s="13"/>
      <c r="B280" s="15"/>
      <c r="C280" s="3"/>
    </row>
    <row r="281" spans="1:3" x14ac:dyDescent="0.25">
      <c r="A281" s="13"/>
      <c r="B281" s="15"/>
      <c r="C281" s="3"/>
    </row>
    <row r="282" spans="1:3" x14ac:dyDescent="0.25">
      <c r="A282" s="13"/>
      <c r="B282" s="15"/>
      <c r="C282" s="3"/>
    </row>
    <row r="283" spans="1:3" x14ac:dyDescent="0.25">
      <c r="A283" s="13"/>
      <c r="B283" s="15"/>
      <c r="C283" s="3"/>
    </row>
    <row r="284" spans="1:3" x14ac:dyDescent="0.25">
      <c r="A284" s="13"/>
      <c r="B284" s="15"/>
      <c r="C284" s="3"/>
    </row>
    <row r="285" spans="1:3" x14ac:dyDescent="0.25">
      <c r="A285" s="13"/>
      <c r="B285" s="15"/>
      <c r="C285" s="3"/>
    </row>
    <row r="286" spans="1:3" x14ac:dyDescent="0.25">
      <c r="A286" s="13"/>
      <c r="B286" s="15"/>
      <c r="C286" s="3"/>
    </row>
    <row r="287" spans="1:3" x14ac:dyDescent="0.25">
      <c r="A287" s="13"/>
      <c r="B287" s="15"/>
      <c r="C287" s="3"/>
    </row>
    <row r="288" spans="1:3" x14ac:dyDescent="0.25">
      <c r="A288" s="13"/>
      <c r="B288" s="15"/>
      <c r="C288" s="3"/>
    </row>
    <row r="289" spans="1:3" x14ac:dyDescent="0.25">
      <c r="A289" s="13"/>
      <c r="B289" s="15"/>
      <c r="C289" s="3"/>
    </row>
    <row r="290" spans="1:3" x14ac:dyDescent="0.25">
      <c r="A290" s="13"/>
      <c r="B290" s="15"/>
      <c r="C290" s="3"/>
    </row>
    <row r="291" spans="1:3" x14ac:dyDescent="0.25">
      <c r="A291" s="13"/>
      <c r="B291" s="15"/>
      <c r="C291" s="3"/>
    </row>
    <row r="292" spans="1:3" x14ac:dyDescent="0.25">
      <c r="A292" s="13"/>
      <c r="B292" s="15"/>
      <c r="C292" s="3"/>
    </row>
    <row r="293" spans="1:3" x14ac:dyDescent="0.25">
      <c r="A293" s="13"/>
      <c r="B293" s="15"/>
      <c r="C293" s="3"/>
    </row>
    <row r="294" spans="1:3" x14ac:dyDescent="0.25">
      <c r="A294" s="13"/>
      <c r="B294" s="15"/>
      <c r="C294" s="3"/>
    </row>
    <row r="295" spans="1:3" x14ac:dyDescent="0.25">
      <c r="A295" s="13"/>
      <c r="B295" s="15"/>
      <c r="C295" s="3"/>
    </row>
    <row r="296" spans="1:3" x14ac:dyDescent="0.25">
      <c r="A296" s="13"/>
      <c r="B296" s="15"/>
      <c r="C296" s="3"/>
    </row>
    <row r="297" spans="1:3" x14ac:dyDescent="0.25">
      <c r="A297" s="13"/>
      <c r="B297" s="15"/>
      <c r="C297" s="3"/>
    </row>
    <row r="298" spans="1:3" x14ac:dyDescent="0.25">
      <c r="A298" s="13"/>
      <c r="B298" s="15"/>
      <c r="C298" s="3"/>
    </row>
    <row r="299" spans="1:3" x14ac:dyDescent="0.25">
      <c r="A299" s="13"/>
      <c r="B299" s="15"/>
      <c r="C299" s="3"/>
    </row>
    <row r="300" spans="1:3" x14ac:dyDescent="0.25">
      <c r="A300" s="13"/>
      <c r="B300" s="15"/>
      <c r="C300" s="3"/>
    </row>
    <row r="301" spans="1:3" x14ac:dyDescent="0.25">
      <c r="A301" s="13"/>
      <c r="B301" s="15"/>
      <c r="C301" s="3"/>
    </row>
    <row r="302" spans="1:3" x14ac:dyDescent="0.25">
      <c r="A302" s="13"/>
      <c r="B302" s="15"/>
      <c r="C302" s="3"/>
    </row>
    <row r="303" spans="1:3" x14ac:dyDescent="0.25">
      <c r="A303" s="13"/>
      <c r="B303" s="15"/>
      <c r="C303" s="3"/>
    </row>
    <row r="304" spans="1:3" x14ac:dyDescent="0.25">
      <c r="A304" s="13"/>
      <c r="B304" s="15"/>
      <c r="C304" s="3"/>
    </row>
    <row r="305" spans="1:3" x14ac:dyDescent="0.25">
      <c r="A305" s="13"/>
      <c r="B305" s="15"/>
      <c r="C305" s="3"/>
    </row>
    <row r="306" spans="1:3" x14ac:dyDescent="0.25">
      <c r="A306" s="13"/>
      <c r="B306" s="15"/>
      <c r="C306" s="3"/>
    </row>
    <row r="307" spans="1:3" x14ac:dyDescent="0.25">
      <c r="A307" s="13"/>
      <c r="B307" s="15"/>
      <c r="C307" s="3"/>
    </row>
    <row r="308" spans="1:3" x14ac:dyDescent="0.25">
      <c r="A308" s="13"/>
      <c r="B308" s="15"/>
      <c r="C308" s="3"/>
    </row>
    <row r="309" spans="1:3" x14ac:dyDescent="0.25">
      <c r="A309" s="13"/>
      <c r="B309" s="15"/>
      <c r="C309" s="3"/>
    </row>
    <row r="310" spans="1:3" x14ac:dyDescent="0.25">
      <c r="A310" s="13"/>
      <c r="B310" s="15"/>
      <c r="C310" s="3"/>
    </row>
    <row r="311" spans="1:3" x14ac:dyDescent="0.25">
      <c r="A311" s="13"/>
      <c r="B311" s="15"/>
      <c r="C311" s="3"/>
    </row>
    <row r="312" spans="1:3" x14ac:dyDescent="0.25">
      <c r="A312" s="13"/>
      <c r="B312" s="15"/>
      <c r="C312" s="3"/>
    </row>
    <row r="313" spans="1:3" x14ac:dyDescent="0.25">
      <c r="A313" s="13"/>
      <c r="B313" s="15"/>
      <c r="C313" s="3"/>
    </row>
    <row r="314" spans="1:3" x14ac:dyDescent="0.25">
      <c r="A314" s="13"/>
      <c r="B314" s="15"/>
      <c r="C314" s="3"/>
    </row>
    <row r="315" spans="1:3" x14ac:dyDescent="0.25">
      <c r="A315" s="13"/>
      <c r="B315" s="15"/>
      <c r="C315" s="3"/>
    </row>
    <row r="316" spans="1:3" x14ac:dyDescent="0.25">
      <c r="A316" s="13"/>
      <c r="B316" s="15"/>
      <c r="C316" s="3"/>
    </row>
    <row r="317" spans="1:3" x14ac:dyDescent="0.25">
      <c r="A317" s="13"/>
      <c r="B317" s="15"/>
      <c r="C317" s="3"/>
    </row>
    <row r="318" spans="1:3" x14ac:dyDescent="0.25">
      <c r="A318" s="13"/>
      <c r="B318" s="15"/>
      <c r="C318" s="3"/>
    </row>
    <row r="319" spans="1:3" x14ac:dyDescent="0.25">
      <c r="A319" s="13"/>
      <c r="B319" s="15"/>
      <c r="C319" s="3"/>
    </row>
    <row r="320" spans="1:3" x14ac:dyDescent="0.25">
      <c r="A320" s="13"/>
      <c r="B320" s="15"/>
      <c r="C320" s="3"/>
    </row>
    <row r="321" spans="1:3" x14ac:dyDescent="0.25">
      <c r="A321" s="13"/>
      <c r="B321" s="15"/>
      <c r="C321" s="3"/>
    </row>
    <row r="322" spans="1:3" x14ac:dyDescent="0.25">
      <c r="A322" s="13"/>
      <c r="B322" s="15"/>
      <c r="C322" s="3"/>
    </row>
    <row r="323" spans="1:3" x14ac:dyDescent="0.25">
      <c r="A323" s="13"/>
      <c r="B323" s="15"/>
      <c r="C323" s="3"/>
    </row>
    <row r="324" spans="1:3" x14ac:dyDescent="0.25">
      <c r="A324" s="13"/>
      <c r="B324" s="15"/>
      <c r="C324" s="3"/>
    </row>
    <row r="325" spans="1:3" x14ac:dyDescent="0.25">
      <c r="A325" s="13"/>
      <c r="B325" s="15"/>
      <c r="C325" s="3"/>
    </row>
    <row r="326" spans="1:3" x14ac:dyDescent="0.25">
      <c r="A326" s="13"/>
      <c r="B326" s="15"/>
      <c r="C326" s="3"/>
    </row>
    <row r="327" spans="1:3" x14ac:dyDescent="0.25">
      <c r="A327" s="13"/>
      <c r="B327" s="15"/>
      <c r="C327" s="3"/>
    </row>
    <row r="328" spans="1:3" x14ac:dyDescent="0.25">
      <c r="A328" s="13"/>
      <c r="B328" s="15"/>
      <c r="C328" s="3"/>
    </row>
    <row r="329" spans="1:3" x14ac:dyDescent="0.25">
      <c r="A329" s="13"/>
      <c r="B329" s="15"/>
      <c r="C329" s="3"/>
    </row>
    <row r="330" spans="1:3" x14ac:dyDescent="0.25">
      <c r="A330" s="13"/>
      <c r="B330" s="15"/>
      <c r="C330" s="3"/>
    </row>
    <row r="331" spans="1:3" x14ac:dyDescent="0.25">
      <c r="A331" s="13"/>
      <c r="B331" s="15"/>
      <c r="C331" s="3"/>
    </row>
    <row r="332" spans="1:3" x14ac:dyDescent="0.25">
      <c r="A332" s="13"/>
      <c r="B332" s="15"/>
      <c r="C332" s="3"/>
    </row>
    <row r="333" spans="1:3" x14ac:dyDescent="0.25">
      <c r="A333" s="13"/>
      <c r="B333" s="15"/>
      <c r="C333" s="3"/>
    </row>
    <row r="334" spans="1:3" x14ac:dyDescent="0.25">
      <c r="A334" s="13"/>
      <c r="B334" s="15"/>
      <c r="C334" s="3"/>
    </row>
    <row r="335" spans="1:3" x14ac:dyDescent="0.25">
      <c r="A335" s="13"/>
      <c r="B335" s="15"/>
      <c r="C335" s="3"/>
    </row>
    <row r="336" spans="1:3" x14ac:dyDescent="0.25">
      <c r="A336" s="13"/>
      <c r="B336" s="15"/>
      <c r="C336" s="3"/>
    </row>
    <row r="337" spans="1:3" x14ac:dyDescent="0.25">
      <c r="A337" s="13"/>
      <c r="B337" s="15"/>
      <c r="C337" s="3"/>
    </row>
    <row r="338" spans="1:3" x14ac:dyDescent="0.25">
      <c r="A338" s="13"/>
      <c r="B338" s="15"/>
      <c r="C338" s="3"/>
    </row>
    <row r="339" spans="1:3" x14ac:dyDescent="0.25">
      <c r="A339" s="13"/>
      <c r="B339" s="15"/>
      <c r="C339" s="3"/>
    </row>
    <row r="340" spans="1:3" x14ac:dyDescent="0.25">
      <c r="A340" s="13"/>
      <c r="B340" s="15"/>
      <c r="C340" s="3"/>
    </row>
    <row r="341" spans="1:3" x14ac:dyDescent="0.25">
      <c r="A341" s="13"/>
      <c r="B341" s="15"/>
      <c r="C341" s="3"/>
    </row>
    <row r="342" spans="1:3" x14ac:dyDescent="0.25">
      <c r="A342" s="13"/>
      <c r="B342" s="15"/>
      <c r="C342" s="3"/>
    </row>
    <row r="343" spans="1:3" x14ac:dyDescent="0.25">
      <c r="A343" s="13"/>
      <c r="B343" s="15"/>
      <c r="C343" s="3"/>
    </row>
    <row r="344" spans="1:3" x14ac:dyDescent="0.25">
      <c r="A344" s="13"/>
      <c r="B344" s="15"/>
      <c r="C344" s="3"/>
    </row>
    <row r="345" spans="1:3" x14ac:dyDescent="0.25">
      <c r="A345" s="13"/>
      <c r="B345" s="15"/>
      <c r="C345" s="3"/>
    </row>
    <row r="346" spans="1:3" x14ac:dyDescent="0.25">
      <c r="A346" s="13"/>
      <c r="B346" s="15"/>
      <c r="C346" s="3"/>
    </row>
    <row r="347" spans="1:3" x14ac:dyDescent="0.25">
      <c r="A347" s="13"/>
      <c r="B347" s="15"/>
      <c r="C347" s="3"/>
    </row>
    <row r="348" spans="1:3" x14ac:dyDescent="0.25">
      <c r="A348" s="13"/>
      <c r="B348" s="15"/>
      <c r="C348" s="3"/>
    </row>
    <row r="349" spans="1:3" x14ac:dyDescent="0.25">
      <c r="A349" s="13"/>
      <c r="B349" s="15"/>
      <c r="C349" s="3"/>
    </row>
    <row r="350" spans="1:3" x14ac:dyDescent="0.25">
      <c r="A350" s="13"/>
      <c r="B350" s="15"/>
      <c r="C350" s="3"/>
    </row>
    <row r="351" spans="1:3" x14ac:dyDescent="0.25">
      <c r="A351" s="13"/>
      <c r="B351" s="15"/>
      <c r="C351" s="3"/>
    </row>
    <row r="352" spans="1:3" x14ac:dyDescent="0.25">
      <c r="A352" s="13"/>
      <c r="B352" s="15"/>
      <c r="C352" s="3"/>
    </row>
    <row r="353" spans="1:3" x14ac:dyDescent="0.25">
      <c r="A353" s="13"/>
      <c r="B353" s="15"/>
      <c r="C353" s="3"/>
    </row>
    <row r="354" spans="1:3" x14ac:dyDescent="0.25">
      <c r="A354" s="13"/>
      <c r="B354" s="15"/>
      <c r="C354" s="3"/>
    </row>
    <row r="355" spans="1:3" x14ac:dyDescent="0.25">
      <c r="A355" s="13"/>
      <c r="B355" s="15"/>
      <c r="C355" s="3"/>
    </row>
    <row r="356" spans="1:3" x14ac:dyDescent="0.25">
      <c r="A356" s="13"/>
      <c r="B356" s="15"/>
      <c r="C356" s="3"/>
    </row>
    <row r="357" spans="1:3" x14ac:dyDescent="0.25">
      <c r="A357" s="13"/>
      <c r="B357" s="15"/>
      <c r="C357" s="3"/>
    </row>
    <row r="358" spans="1:3" x14ac:dyDescent="0.25">
      <c r="A358" s="13"/>
      <c r="B358" s="15"/>
      <c r="C358" s="3"/>
    </row>
    <row r="359" spans="1:3" x14ac:dyDescent="0.25">
      <c r="A359" s="13"/>
      <c r="B359" s="15"/>
      <c r="C359" s="3"/>
    </row>
    <row r="360" spans="1:3" x14ac:dyDescent="0.25">
      <c r="A360" s="13"/>
      <c r="B360" s="15"/>
      <c r="C360" s="3"/>
    </row>
    <row r="361" spans="1:3" x14ac:dyDescent="0.25">
      <c r="A361" s="13"/>
      <c r="B361" s="15"/>
      <c r="C361" s="3"/>
    </row>
    <row r="362" spans="1:3" x14ac:dyDescent="0.25">
      <c r="A362" s="13"/>
      <c r="B362" s="15"/>
      <c r="C362" s="3"/>
    </row>
    <row r="363" spans="1:3" x14ac:dyDescent="0.25">
      <c r="A363" s="13"/>
      <c r="B363" s="15"/>
      <c r="C363" s="3"/>
    </row>
    <row r="364" spans="1:3" x14ac:dyDescent="0.25">
      <c r="A364" s="13"/>
      <c r="B364" s="15"/>
      <c r="C364" s="3"/>
    </row>
    <row r="365" spans="1:3" x14ac:dyDescent="0.25">
      <c r="A365" s="13"/>
      <c r="B365" s="15"/>
      <c r="C365" s="3"/>
    </row>
    <row r="366" spans="1:3" x14ac:dyDescent="0.25">
      <c r="A366" s="13"/>
      <c r="B366" s="15"/>
      <c r="C366" s="3"/>
    </row>
    <row r="367" spans="1:3" x14ac:dyDescent="0.25">
      <c r="A367" s="13"/>
      <c r="B367" s="15"/>
      <c r="C367" s="3"/>
    </row>
    <row r="368" spans="1:3" x14ac:dyDescent="0.25">
      <c r="A368" s="13"/>
      <c r="B368" s="15"/>
      <c r="C368" s="3"/>
    </row>
    <row r="369" spans="1:3" x14ac:dyDescent="0.25">
      <c r="A369" s="13"/>
      <c r="B369" s="15"/>
      <c r="C369" s="3"/>
    </row>
    <row r="370" spans="1:3" x14ac:dyDescent="0.25">
      <c r="A370" s="13"/>
      <c r="B370" s="15"/>
      <c r="C370" s="3"/>
    </row>
    <row r="371" spans="1:3" x14ac:dyDescent="0.25">
      <c r="A371" s="13"/>
      <c r="B371" s="15"/>
      <c r="C371" s="3"/>
    </row>
    <row r="372" spans="1:3" x14ac:dyDescent="0.25">
      <c r="A372" s="13"/>
      <c r="B372" s="15"/>
      <c r="C372" s="3"/>
    </row>
    <row r="373" spans="1:3" x14ac:dyDescent="0.25">
      <c r="A373" s="13"/>
      <c r="B373" s="15"/>
      <c r="C373" s="3"/>
    </row>
    <row r="374" spans="1:3" x14ac:dyDescent="0.25">
      <c r="A374" s="13"/>
      <c r="B374" s="15"/>
      <c r="C374" s="3"/>
    </row>
    <row r="375" spans="1:3" x14ac:dyDescent="0.25">
      <c r="A375" s="13"/>
      <c r="B375" s="15"/>
      <c r="C375" s="3"/>
    </row>
    <row r="376" spans="1:3" x14ac:dyDescent="0.25">
      <c r="A376" s="13"/>
      <c r="B376" s="15"/>
      <c r="C376" s="3"/>
    </row>
    <row r="377" spans="1:3" x14ac:dyDescent="0.25">
      <c r="A377" s="13"/>
      <c r="B377" s="15"/>
      <c r="C377" s="3"/>
    </row>
    <row r="378" spans="1:3" x14ac:dyDescent="0.25">
      <c r="A378" s="13"/>
      <c r="B378" s="15"/>
      <c r="C378" s="3"/>
    </row>
    <row r="379" spans="1:3" x14ac:dyDescent="0.25">
      <c r="A379" s="13"/>
      <c r="B379" s="15"/>
      <c r="C379" s="3"/>
    </row>
    <row r="380" spans="1:3" x14ac:dyDescent="0.25">
      <c r="A380" s="13"/>
      <c r="B380" s="15"/>
      <c r="C380" s="3"/>
    </row>
    <row r="381" spans="1:3" x14ac:dyDescent="0.25">
      <c r="A381" s="13"/>
      <c r="B381" s="15"/>
      <c r="C381" s="3"/>
    </row>
    <row r="382" spans="1:3" x14ac:dyDescent="0.25">
      <c r="A382" s="13"/>
      <c r="B382" s="15"/>
      <c r="C382" s="3"/>
    </row>
    <row r="383" spans="1:3" x14ac:dyDescent="0.25">
      <c r="A383" s="13"/>
      <c r="B383" s="15"/>
      <c r="C383" s="3"/>
    </row>
    <row r="384" spans="1:3" x14ac:dyDescent="0.25">
      <c r="A384" s="13"/>
      <c r="B384" s="15"/>
      <c r="C384" s="3"/>
    </row>
    <row r="385" spans="1:3" x14ac:dyDescent="0.25">
      <c r="A385" s="13"/>
      <c r="B385" s="15"/>
      <c r="C385" s="3"/>
    </row>
    <row r="386" spans="1:3" x14ac:dyDescent="0.25">
      <c r="A386" s="13"/>
      <c r="B386" s="15"/>
      <c r="C386" s="3"/>
    </row>
    <row r="387" spans="1:3" x14ac:dyDescent="0.25">
      <c r="A387" s="13"/>
      <c r="B387" s="15"/>
      <c r="C387" s="3"/>
    </row>
    <row r="388" spans="1:3" x14ac:dyDescent="0.25">
      <c r="A388" s="13"/>
      <c r="B388" s="15"/>
      <c r="C388" s="3"/>
    </row>
    <row r="389" spans="1:3" x14ac:dyDescent="0.25">
      <c r="A389" s="13"/>
      <c r="B389" s="15"/>
      <c r="C389" s="3"/>
    </row>
    <row r="390" spans="1:3" x14ac:dyDescent="0.25">
      <c r="A390" s="13"/>
      <c r="B390" s="15"/>
      <c r="C390" s="3"/>
    </row>
    <row r="391" spans="1:3" x14ac:dyDescent="0.25">
      <c r="A391" s="13"/>
      <c r="B391" s="15"/>
      <c r="C391" s="3"/>
    </row>
    <row r="392" spans="1:3" x14ac:dyDescent="0.25">
      <c r="A392" s="13"/>
      <c r="B392" s="15"/>
      <c r="C392" s="3"/>
    </row>
    <row r="393" spans="1:3" x14ac:dyDescent="0.25">
      <c r="A393" s="13"/>
      <c r="B393" s="15"/>
      <c r="C393" s="3"/>
    </row>
    <row r="394" spans="1:3" x14ac:dyDescent="0.25">
      <c r="A394" s="13"/>
      <c r="B394" s="15"/>
      <c r="C394" s="3"/>
    </row>
    <row r="395" spans="1:3" x14ac:dyDescent="0.25">
      <c r="A395" s="13"/>
      <c r="B395" s="15"/>
      <c r="C395" s="3"/>
    </row>
    <row r="396" spans="1:3" x14ac:dyDescent="0.25">
      <c r="A396" s="13"/>
      <c r="B396" s="15"/>
      <c r="C396" s="3"/>
    </row>
    <row r="397" spans="1:3" x14ac:dyDescent="0.25">
      <c r="A397" s="13"/>
      <c r="B397" s="15"/>
      <c r="C397" s="3"/>
    </row>
    <row r="398" spans="1:3" x14ac:dyDescent="0.25">
      <c r="A398" s="13"/>
      <c r="B398" s="15"/>
      <c r="C398" s="3"/>
    </row>
    <row r="399" spans="1:3" x14ac:dyDescent="0.25">
      <c r="A399" s="13"/>
      <c r="B399" s="15"/>
      <c r="C399" s="3"/>
    </row>
    <row r="400" spans="1:3" x14ac:dyDescent="0.25">
      <c r="A400" s="13"/>
      <c r="B400" s="15"/>
      <c r="C400" s="3"/>
    </row>
    <row r="401" spans="1:3" x14ac:dyDescent="0.25">
      <c r="A401" s="13"/>
      <c r="B401" s="15"/>
      <c r="C401" s="3"/>
    </row>
    <row r="402" spans="1:3" x14ac:dyDescent="0.25">
      <c r="A402" s="13"/>
      <c r="B402" s="15"/>
      <c r="C402" s="3"/>
    </row>
    <row r="403" spans="1:3" x14ac:dyDescent="0.25">
      <c r="A403" s="13"/>
      <c r="B403" s="15"/>
      <c r="C403" s="3"/>
    </row>
    <row r="404" spans="1:3" x14ac:dyDescent="0.25">
      <c r="A404" s="13"/>
      <c r="B404" s="15"/>
      <c r="C404" s="3"/>
    </row>
    <row r="405" spans="1:3" x14ac:dyDescent="0.25">
      <c r="A405" s="13"/>
      <c r="B405" s="15"/>
      <c r="C405" s="3"/>
    </row>
    <row r="406" spans="1:3" x14ac:dyDescent="0.25">
      <c r="A406" s="13"/>
      <c r="B406" s="15"/>
      <c r="C406" s="3"/>
    </row>
    <row r="407" spans="1:3" x14ac:dyDescent="0.25">
      <c r="A407" s="13"/>
      <c r="B407" s="15"/>
      <c r="C407" s="3"/>
    </row>
    <row r="408" spans="1:3" x14ac:dyDescent="0.25">
      <c r="A408" s="13"/>
      <c r="B408" s="15"/>
      <c r="C408" s="3"/>
    </row>
    <row r="409" spans="1:3" x14ac:dyDescent="0.25">
      <c r="A409" s="13"/>
      <c r="B409" s="15"/>
      <c r="C409" s="3"/>
    </row>
    <row r="410" spans="1:3" x14ac:dyDescent="0.25">
      <c r="A410" s="13"/>
      <c r="B410" s="15"/>
      <c r="C410" s="3"/>
    </row>
    <row r="411" spans="1:3" x14ac:dyDescent="0.25">
      <c r="A411" s="13"/>
      <c r="B411" s="15"/>
      <c r="C411" s="3"/>
    </row>
    <row r="412" spans="1:3" x14ac:dyDescent="0.25">
      <c r="A412" s="13"/>
      <c r="B412" s="15"/>
      <c r="C412" s="3"/>
    </row>
    <row r="413" spans="1:3" x14ac:dyDescent="0.25">
      <c r="A413" s="13"/>
      <c r="B413" s="15"/>
      <c r="C413" s="3"/>
    </row>
    <row r="414" spans="1:3" x14ac:dyDescent="0.25">
      <c r="A414" s="13"/>
      <c r="B414" s="15"/>
      <c r="C414" s="3"/>
    </row>
    <row r="415" spans="1:3" x14ac:dyDescent="0.25">
      <c r="A415" s="13"/>
      <c r="B415" s="15"/>
      <c r="C415" s="3"/>
    </row>
    <row r="416" spans="1:3" x14ac:dyDescent="0.25">
      <c r="A416" s="13"/>
      <c r="B416" s="15"/>
      <c r="C416" s="3"/>
    </row>
    <row r="417" spans="1:3" x14ac:dyDescent="0.25">
      <c r="A417" s="13"/>
      <c r="B417" s="15"/>
      <c r="C417" s="3"/>
    </row>
    <row r="418" spans="1:3" x14ac:dyDescent="0.25">
      <c r="A418" s="13"/>
      <c r="B418" s="15"/>
      <c r="C418" s="3"/>
    </row>
    <row r="419" spans="1:3" x14ac:dyDescent="0.25">
      <c r="A419" s="13"/>
      <c r="B419" s="15"/>
      <c r="C419" s="3"/>
    </row>
    <row r="420" spans="1:3" x14ac:dyDescent="0.25">
      <c r="A420" s="13"/>
      <c r="B420" s="15"/>
      <c r="C420" s="3"/>
    </row>
    <row r="421" spans="1:3" x14ac:dyDescent="0.25">
      <c r="A421" s="13"/>
      <c r="B421" s="15"/>
      <c r="C421" s="3"/>
    </row>
    <row r="422" spans="1:3" x14ac:dyDescent="0.25">
      <c r="A422" s="13"/>
      <c r="B422" s="15"/>
      <c r="C422" s="3"/>
    </row>
    <row r="423" spans="1:3" x14ac:dyDescent="0.25">
      <c r="A423" s="13"/>
      <c r="B423" s="15"/>
      <c r="C423" s="3"/>
    </row>
    <row r="424" spans="1:3" x14ac:dyDescent="0.25">
      <c r="A424" s="13"/>
      <c r="B424" s="15"/>
      <c r="C424" s="3"/>
    </row>
    <row r="425" spans="1:3" x14ac:dyDescent="0.25">
      <c r="A425" s="13"/>
      <c r="B425" s="15"/>
      <c r="C425" s="3"/>
    </row>
    <row r="426" spans="1:3" x14ac:dyDescent="0.25">
      <c r="A426" s="13"/>
      <c r="B426" s="15"/>
      <c r="C426" s="3"/>
    </row>
    <row r="427" spans="1:3" x14ac:dyDescent="0.25">
      <c r="A427" s="13"/>
      <c r="B427" s="15"/>
      <c r="C427" s="3"/>
    </row>
    <row r="428" spans="1:3" x14ac:dyDescent="0.25">
      <c r="A428" s="13"/>
      <c r="B428" s="15"/>
      <c r="C428" s="3"/>
    </row>
    <row r="429" spans="1:3" x14ac:dyDescent="0.25">
      <c r="A429" s="13"/>
      <c r="B429" s="15"/>
      <c r="C429" s="3"/>
    </row>
    <row r="430" spans="1:3" x14ac:dyDescent="0.25">
      <c r="A430" s="13"/>
      <c r="B430" s="15"/>
      <c r="C430" s="3"/>
    </row>
    <row r="431" spans="1:3" x14ac:dyDescent="0.25">
      <c r="A431" s="13"/>
      <c r="B431" s="15"/>
      <c r="C431" s="3"/>
    </row>
    <row r="432" spans="1:3" x14ac:dyDescent="0.25">
      <c r="A432" s="13"/>
      <c r="B432" s="15"/>
      <c r="C432" s="3"/>
    </row>
    <row r="433" spans="1:3" x14ac:dyDescent="0.25">
      <c r="A433" s="13"/>
      <c r="B433" s="15"/>
      <c r="C433" s="3"/>
    </row>
    <row r="434" spans="1:3" x14ac:dyDescent="0.25">
      <c r="A434" s="13"/>
      <c r="B434" s="15"/>
      <c r="C434" s="3"/>
    </row>
    <row r="435" spans="1:3" x14ac:dyDescent="0.25">
      <c r="A435" s="13"/>
      <c r="B435" s="15"/>
      <c r="C435" s="3"/>
    </row>
    <row r="436" spans="1:3" x14ac:dyDescent="0.25">
      <c r="A436" s="13"/>
      <c r="B436" s="15"/>
      <c r="C436" s="3"/>
    </row>
    <row r="437" spans="1:3" x14ac:dyDescent="0.25">
      <c r="A437" s="13"/>
      <c r="B437" s="15"/>
      <c r="C437" s="3"/>
    </row>
    <row r="438" spans="1:3" x14ac:dyDescent="0.25">
      <c r="A438" s="13"/>
      <c r="B438" s="15"/>
      <c r="C438" s="3"/>
    </row>
    <row r="439" spans="1:3" x14ac:dyDescent="0.25">
      <c r="A439" s="13"/>
      <c r="B439" s="15"/>
      <c r="C439" s="3"/>
    </row>
    <row r="440" spans="1:3" x14ac:dyDescent="0.25">
      <c r="A440" s="13"/>
      <c r="B440" s="15"/>
      <c r="C440" s="3"/>
    </row>
    <row r="441" spans="1:3" x14ac:dyDescent="0.25">
      <c r="A441" s="13"/>
      <c r="B441" s="15"/>
      <c r="C441" s="3"/>
    </row>
    <row r="442" spans="1:3" x14ac:dyDescent="0.25">
      <c r="A442" s="13"/>
      <c r="B442" s="15"/>
      <c r="C442" s="3"/>
    </row>
    <row r="443" spans="1:3" x14ac:dyDescent="0.25">
      <c r="A443" s="13"/>
      <c r="B443" s="15"/>
      <c r="C443" s="3"/>
    </row>
    <row r="444" spans="1:3" x14ac:dyDescent="0.25">
      <c r="A444" s="13"/>
      <c r="B444" s="15"/>
      <c r="C444" s="3"/>
    </row>
    <row r="445" spans="1:3" x14ac:dyDescent="0.25">
      <c r="A445" s="13"/>
      <c r="B445" s="15"/>
      <c r="C445" s="3"/>
    </row>
    <row r="446" spans="1:3" x14ac:dyDescent="0.25">
      <c r="A446" s="13"/>
      <c r="B446" s="15"/>
      <c r="C446" s="3"/>
    </row>
    <row r="447" spans="1:3" x14ac:dyDescent="0.25">
      <c r="A447" s="13"/>
      <c r="B447" s="15"/>
      <c r="C447" s="3"/>
    </row>
    <row r="448" spans="1:3" x14ac:dyDescent="0.25">
      <c r="A448" s="13"/>
      <c r="B448" s="15"/>
      <c r="C448" s="3"/>
    </row>
    <row r="449" spans="1:3" x14ac:dyDescent="0.25">
      <c r="A449" s="13"/>
      <c r="B449" s="15"/>
      <c r="C449" s="3"/>
    </row>
    <row r="450" spans="1:3" x14ac:dyDescent="0.25">
      <c r="A450" s="13"/>
      <c r="B450" s="15"/>
      <c r="C450" s="3"/>
    </row>
    <row r="451" spans="1:3" x14ac:dyDescent="0.25">
      <c r="A451" s="13"/>
      <c r="B451" s="15"/>
      <c r="C451" s="3"/>
    </row>
    <row r="452" spans="1:3" x14ac:dyDescent="0.25">
      <c r="A452" s="13"/>
      <c r="B452" s="15"/>
      <c r="C452" s="3"/>
    </row>
    <row r="453" spans="1:3" x14ac:dyDescent="0.25">
      <c r="A453" s="13"/>
      <c r="B453" s="15"/>
      <c r="C453" s="3"/>
    </row>
    <row r="454" spans="1:3" x14ac:dyDescent="0.25">
      <c r="A454" s="13"/>
      <c r="B454" s="15"/>
      <c r="C454" s="3"/>
    </row>
    <row r="455" spans="1:3" x14ac:dyDescent="0.25">
      <c r="A455" s="13"/>
      <c r="B455" s="15"/>
      <c r="C455" s="3"/>
    </row>
    <row r="456" spans="1:3" x14ac:dyDescent="0.25">
      <c r="A456" s="13"/>
      <c r="B456" s="15"/>
      <c r="C456" s="3"/>
    </row>
    <row r="457" spans="1:3" x14ac:dyDescent="0.25">
      <c r="A457" s="13"/>
      <c r="B457" s="15"/>
      <c r="C457" s="3"/>
    </row>
    <row r="458" spans="1:3" x14ac:dyDescent="0.25">
      <c r="A458" s="13"/>
      <c r="B458" s="15"/>
      <c r="C458" s="3"/>
    </row>
    <row r="459" spans="1:3" x14ac:dyDescent="0.25">
      <c r="A459" s="13"/>
      <c r="B459" s="15"/>
      <c r="C459" s="3"/>
    </row>
    <row r="460" spans="1:3" x14ac:dyDescent="0.25">
      <c r="A460" s="13"/>
      <c r="B460" s="15"/>
      <c r="C460" s="3"/>
    </row>
    <row r="461" spans="1:3" x14ac:dyDescent="0.25">
      <c r="A461" s="13"/>
      <c r="B461" s="15"/>
      <c r="C461" s="3"/>
    </row>
    <row r="462" spans="1:3" x14ac:dyDescent="0.25">
      <c r="A462" s="13"/>
      <c r="B462" s="15"/>
      <c r="C462" s="3"/>
    </row>
    <row r="463" spans="1:3" x14ac:dyDescent="0.25">
      <c r="A463" s="13"/>
      <c r="B463" s="15"/>
      <c r="C463" s="3"/>
    </row>
    <row r="464" spans="1:3" x14ac:dyDescent="0.25">
      <c r="A464" s="13"/>
      <c r="B464" s="15"/>
      <c r="C464" s="3"/>
    </row>
    <row r="465" spans="1:3" x14ac:dyDescent="0.25">
      <c r="A465" s="13"/>
      <c r="B465" s="15"/>
      <c r="C465" s="3"/>
    </row>
    <row r="466" spans="1:3" x14ac:dyDescent="0.25">
      <c r="A466" s="13"/>
      <c r="B466" s="15"/>
      <c r="C466" s="3"/>
    </row>
    <row r="467" spans="1:3" x14ac:dyDescent="0.25">
      <c r="A467" s="13"/>
      <c r="B467" s="15"/>
      <c r="C467" s="3"/>
    </row>
    <row r="468" spans="1:3" x14ac:dyDescent="0.25">
      <c r="A468" s="13"/>
      <c r="B468" s="15"/>
      <c r="C468" s="3"/>
    </row>
    <row r="469" spans="1:3" x14ac:dyDescent="0.25">
      <c r="A469" s="13"/>
      <c r="B469" s="15"/>
      <c r="C469" s="3"/>
    </row>
    <row r="470" spans="1:3" x14ac:dyDescent="0.25">
      <c r="A470" s="13"/>
      <c r="B470" s="15"/>
      <c r="C470" s="3"/>
    </row>
    <row r="471" spans="1:3" x14ac:dyDescent="0.25">
      <c r="A471" s="13"/>
      <c r="B471" s="15"/>
      <c r="C471" s="3"/>
    </row>
    <row r="472" spans="1:3" x14ac:dyDescent="0.25">
      <c r="A472" s="13"/>
      <c r="B472" s="15"/>
      <c r="C472" s="3"/>
    </row>
    <row r="473" spans="1:3" x14ac:dyDescent="0.25">
      <c r="A473" s="13"/>
      <c r="B473" s="15"/>
      <c r="C473" s="3"/>
    </row>
    <row r="474" spans="1:3" x14ac:dyDescent="0.25">
      <c r="A474" s="13"/>
      <c r="B474" s="15"/>
      <c r="C474" s="3"/>
    </row>
    <row r="475" spans="1:3" x14ac:dyDescent="0.25">
      <c r="A475" s="13"/>
      <c r="B475" s="15"/>
      <c r="C475" s="3"/>
    </row>
    <row r="476" spans="1:3" x14ac:dyDescent="0.25">
      <c r="A476" s="13"/>
      <c r="B476" s="15"/>
      <c r="C476" s="3"/>
    </row>
    <row r="477" spans="1:3" x14ac:dyDescent="0.25">
      <c r="A477" s="13"/>
      <c r="B477" s="15"/>
      <c r="C477" s="3"/>
    </row>
    <row r="478" spans="1:3" x14ac:dyDescent="0.25">
      <c r="A478" s="13"/>
      <c r="B478" s="15"/>
      <c r="C478" s="3"/>
    </row>
    <row r="479" spans="1:3" x14ac:dyDescent="0.25">
      <c r="A479" s="13"/>
      <c r="B479" s="15"/>
      <c r="C479" s="3"/>
    </row>
    <row r="480" spans="1:3" x14ac:dyDescent="0.25">
      <c r="A480" s="13"/>
      <c r="B480" s="15"/>
      <c r="C480" s="3"/>
    </row>
    <row r="481" spans="1:3" x14ac:dyDescent="0.25">
      <c r="A481" s="13"/>
      <c r="B481" s="15"/>
      <c r="C481" s="3"/>
    </row>
    <row r="482" spans="1:3" x14ac:dyDescent="0.25">
      <c r="A482" s="13"/>
      <c r="B482" s="15"/>
      <c r="C482" s="3"/>
    </row>
    <row r="483" spans="1:3" x14ac:dyDescent="0.25">
      <c r="A483" s="13"/>
      <c r="B483" s="15"/>
      <c r="C483" s="3"/>
    </row>
    <row r="484" spans="1:3" x14ac:dyDescent="0.25">
      <c r="A484" s="13"/>
      <c r="B484" s="15"/>
      <c r="C484" s="3"/>
    </row>
    <row r="485" spans="1:3" x14ac:dyDescent="0.25">
      <c r="A485" s="13"/>
      <c r="B485" s="15"/>
      <c r="C485" s="3"/>
    </row>
    <row r="486" spans="1:3" x14ac:dyDescent="0.25">
      <c r="A486" s="13"/>
      <c r="B486" s="15"/>
      <c r="C486" s="3"/>
    </row>
    <row r="487" spans="1:3" x14ac:dyDescent="0.25">
      <c r="A487" s="13"/>
      <c r="B487" s="15"/>
      <c r="C487" s="3"/>
    </row>
    <row r="488" spans="1:3" x14ac:dyDescent="0.25">
      <c r="A488" s="13"/>
      <c r="B488" s="15"/>
      <c r="C488" s="3"/>
    </row>
    <row r="489" spans="1:3" x14ac:dyDescent="0.25">
      <c r="A489" s="13"/>
      <c r="B489" s="15"/>
      <c r="C489" s="3"/>
    </row>
    <row r="490" spans="1:3" x14ac:dyDescent="0.25">
      <c r="A490" s="13"/>
      <c r="B490" s="15"/>
      <c r="C490" s="3"/>
    </row>
    <row r="491" spans="1:3" x14ac:dyDescent="0.25">
      <c r="A491" s="13"/>
      <c r="B491" s="15"/>
      <c r="C491" s="3"/>
    </row>
    <row r="492" spans="1:3" x14ac:dyDescent="0.25">
      <c r="A492" s="13"/>
      <c r="B492" s="15"/>
      <c r="C492" s="3"/>
    </row>
    <row r="493" spans="1:3" x14ac:dyDescent="0.25">
      <c r="A493" s="13"/>
      <c r="B493" s="15"/>
      <c r="C493" s="3"/>
    </row>
    <row r="494" spans="1:3" x14ac:dyDescent="0.25">
      <c r="A494" s="13"/>
      <c r="B494" s="15"/>
      <c r="C494" s="3"/>
    </row>
    <row r="495" spans="1:3" x14ac:dyDescent="0.25">
      <c r="A495" s="13"/>
      <c r="B495" s="15"/>
      <c r="C495" s="3"/>
    </row>
    <row r="496" spans="1:3" x14ac:dyDescent="0.25">
      <c r="A496" s="13"/>
      <c r="B496" s="15"/>
      <c r="C496" s="3"/>
    </row>
    <row r="497" spans="1:3" x14ac:dyDescent="0.25">
      <c r="A497" s="13"/>
      <c r="B497" s="15"/>
      <c r="C497" s="3"/>
    </row>
    <row r="498" spans="1:3" x14ac:dyDescent="0.25">
      <c r="A498" s="13"/>
      <c r="B498" s="15"/>
      <c r="C498" s="3"/>
    </row>
    <row r="499" spans="1:3" x14ac:dyDescent="0.25">
      <c r="A499" s="13"/>
      <c r="B499" s="15"/>
      <c r="C499" s="3"/>
    </row>
    <row r="500" spans="1:3" x14ac:dyDescent="0.25">
      <c r="A500" s="13"/>
      <c r="B500" s="15"/>
      <c r="C500" s="3"/>
    </row>
    <row r="501" spans="1:3" x14ac:dyDescent="0.25">
      <c r="A501" s="13"/>
      <c r="B501" s="15"/>
      <c r="C501" s="3"/>
    </row>
    <row r="502" spans="1:3" x14ac:dyDescent="0.25">
      <c r="A502" s="13"/>
      <c r="B502" s="15"/>
      <c r="C502" s="3"/>
    </row>
    <row r="503" spans="1:3" x14ac:dyDescent="0.25">
      <c r="A503" s="13"/>
      <c r="B503" s="15"/>
      <c r="C503" s="3"/>
    </row>
    <row r="504" spans="1:3" x14ac:dyDescent="0.25">
      <c r="A504" s="13"/>
      <c r="B504" s="15"/>
      <c r="C504" s="3"/>
    </row>
    <row r="505" spans="1:3" x14ac:dyDescent="0.25">
      <c r="A505" s="13"/>
      <c r="B505" s="15"/>
      <c r="C505" s="3"/>
    </row>
    <row r="506" spans="1:3" x14ac:dyDescent="0.25">
      <c r="A506" s="13"/>
      <c r="B506" s="15"/>
      <c r="C506" s="3"/>
    </row>
    <row r="507" spans="1:3" x14ac:dyDescent="0.25">
      <c r="A507" s="13"/>
      <c r="B507" s="15"/>
      <c r="C507" s="3"/>
    </row>
    <row r="508" spans="1:3" x14ac:dyDescent="0.25">
      <c r="A508" s="13"/>
      <c r="B508" s="15"/>
      <c r="C508" s="3"/>
    </row>
    <row r="509" spans="1:3" x14ac:dyDescent="0.25">
      <c r="A509" s="13"/>
      <c r="B509" s="15"/>
      <c r="C509" s="3"/>
    </row>
    <row r="510" spans="1:3" x14ac:dyDescent="0.25">
      <c r="A510" s="13"/>
      <c r="B510" s="15"/>
      <c r="C510" s="3"/>
    </row>
    <row r="511" spans="1:3" x14ac:dyDescent="0.25">
      <c r="A511" s="13"/>
      <c r="B511" s="15"/>
      <c r="C511" s="3"/>
    </row>
    <row r="512" spans="1:3" x14ac:dyDescent="0.25">
      <c r="A512" s="13"/>
      <c r="B512" s="15"/>
      <c r="C512" s="3"/>
    </row>
    <row r="513" spans="1:3" x14ac:dyDescent="0.25">
      <c r="A513" s="13"/>
      <c r="B513" s="15"/>
      <c r="C513" s="3"/>
    </row>
    <row r="514" spans="1:3" x14ac:dyDescent="0.25">
      <c r="A514" s="13"/>
      <c r="B514" s="15"/>
      <c r="C514" s="3"/>
    </row>
    <row r="515" spans="1:3" x14ac:dyDescent="0.25">
      <c r="A515" s="13"/>
      <c r="B515" s="15"/>
      <c r="C515" s="3"/>
    </row>
    <row r="516" spans="1:3" x14ac:dyDescent="0.25">
      <c r="A516" s="13"/>
      <c r="B516" s="15"/>
      <c r="C516" s="3"/>
    </row>
    <row r="517" spans="1:3" x14ac:dyDescent="0.25">
      <c r="A517" s="13"/>
      <c r="B517" s="15"/>
      <c r="C517" s="3"/>
    </row>
    <row r="518" spans="1:3" x14ac:dyDescent="0.25">
      <c r="A518" s="13"/>
      <c r="B518" s="15"/>
      <c r="C518" s="3"/>
    </row>
    <row r="519" spans="1:3" x14ac:dyDescent="0.25">
      <c r="A519" s="13"/>
      <c r="B519" s="15"/>
      <c r="C519" s="3"/>
    </row>
    <row r="520" spans="1:3" x14ac:dyDescent="0.25">
      <c r="A520" s="13"/>
      <c r="B520" s="15"/>
      <c r="C520" s="3"/>
    </row>
    <row r="521" spans="1:3" x14ac:dyDescent="0.25">
      <c r="A521" s="13"/>
      <c r="B521" s="15"/>
      <c r="C521" s="3"/>
    </row>
    <row r="522" spans="1:3" x14ac:dyDescent="0.25">
      <c r="A522" s="13"/>
      <c r="B522" s="15"/>
      <c r="C522" s="3"/>
    </row>
    <row r="523" spans="1:3" x14ac:dyDescent="0.25">
      <c r="A523" s="13"/>
      <c r="B523" s="15"/>
      <c r="C523" s="3"/>
    </row>
    <row r="524" spans="1:3" x14ac:dyDescent="0.25">
      <c r="A524" s="13"/>
      <c r="B524" s="15"/>
      <c r="C524" s="3"/>
    </row>
    <row r="525" spans="1:3" x14ac:dyDescent="0.25">
      <c r="A525" s="13"/>
      <c r="B525" s="15"/>
      <c r="C525" s="3"/>
    </row>
    <row r="526" spans="1:3" x14ac:dyDescent="0.25">
      <c r="A526" s="13"/>
      <c r="B526" s="15"/>
      <c r="C526" s="3"/>
    </row>
    <row r="527" spans="1:3" x14ac:dyDescent="0.25">
      <c r="A527" s="13"/>
      <c r="B527" s="15"/>
      <c r="C527" s="3"/>
    </row>
    <row r="528" spans="1:3" x14ac:dyDescent="0.25">
      <c r="A528" s="13"/>
      <c r="B528" s="15"/>
      <c r="C528" s="3"/>
    </row>
    <row r="529" spans="1:3" x14ac:dyDescent="0.25">
      <c r="A529" s="13"/>
      <c r="B529" s="15"/>
      <c r="C529" s="3"/>
    </row>
    <row r="530" spans="1:3" x14ac:dyDescent="0.25">
      <c r="A530" s="13"/>
      <c r="B530" s="15"/>
      <c r="C530" s="3"/>
    </row>
    <row r="531" spans="1:3" x14ac:dyDescent="0.25">
      <c r="A531" s="13"/>
      <c r="B531" s="15"/>
      <c r="C531" s="3"/>
    </row>
    <row r="532" spans="1:3" x14ac:dyDescent="0.25">
      <c r="A532" s="13"/>
      <c r="B532" s="15"/>
      <c r="C532" s="3"/>
    </row>
    <row r="533" spans="1:3" x14ac:dyDescent="0.25">
      <c r="A533" s="13"/>
      <c r="B533" s="15"/>
      <c r="C533" s="3"/>
    </row>
    <row r="534" spans="1:3" x14ac:dyDescent="0.25">
      <c r="A534" s="13"/>
      <c r="B534" s="15"/>
      <c r="C534" s="3"/>
    </row>
    <row r="535" spans="1:3" x14ac:dyDescent="0.25">
      <c r="A535" s="13"/>
      <c r="B535" s="15"/>
      <c r="C535" s="3"/>
    </row>
    <row r="536" spans="1:3" x14ac:dyDescent="0.25">
      <c r="A536" s="13"/>
      <c r="B536" s="15"/>
      <c r="C536" s="3"/>
    </row>
    <row r="537" spans="1:3" x14ac:dyDescent="0.25">
      <c r="A537" s="13"/>
      <c r="B537" s="15"/>
      <c r="C537" s="3"/>
    </row>
    <row r="538" spans="1:3" x14ac:dyDescent="0.25">
      <c r="A538" s="13"/>
      <c r="B538" s="15"/>
      <c r="C538" s="3"/>
    </row>
    <row r="539" spans="1:3" x14ac:dyDescent="0.25">
      <c r="A539" s="13"/>
      <c r="B539" s="15"/>
      <c r="C539" s="3"/>
    </row>
    <row r="540" spans="1:3" x14ac:dyDescent="0.25">
      <c r="A540" s="13"/>
      <c r="B540" s="15"/>
      <c r="C540" s="3"/>
    </row>
    <row r="541" spans="1:3" x14ac:dyDescent="0.25">
      <c r="A541" s="13"/>
      <c r="B541" s="15"/>
      <c r="C541" s="3"/>
    </row>
    <row r="542" spans="1:3" x14ac:dyDescent="0.25">
      <c r="A542" s="13"/>
      <c r="B542" s="15"/>
      <c r="C542" s="3"/>
    </row>
    <row r="543" spans="1:3" x14ac:dyDescent="0.25">
      <c r="A543" s="13"/>
      <c r="B543" s="15"/>
      <c r="C543" s="3"/>
    </row>
    <row r="544" spans="1:3" x14ac:dyDescent="0.25">
      <c r="A544" s="13"/>
      <c r="B544" s="15"/>
      <c r="C544" s="3"/>
    </row>
    <row r="545" spans="1:3" x14ac:dyDescent="0.25">
      <c r="A545" s="13"/>
      <c r="B545" s="15"/>
      <c r="C545" s="3"/>
    </row>
    <row r="546" spans="1:3" x14ac:dyDescent="0.25">
      <c r="A546" s="13"/>
      <c r="B546" s="15"/>
      <c r="C546" s="3"/>
    </row>
    <row r="547" spans="1:3" x14ac:dyDescent="0.25">
      <c r="A547" s="13"/>
      <c r="B547" s="15"/>
      <c r="C547" s="3"/>
    </row>
    <row r="548" spans="1:3" x14ac:dyDescent="0.25">
      <c r="A548" s="13"/>
      <c r="B548" s="15"/>
      <c r="C548" s="3"/>
    </row>
    <row r="549" spans="1:3" x14ac:dyDescent="0.25">
      <c r="A549" s="13"/>
      <c r="B549" s="15"/>
      <c r="C549" s="3"/>
    </row>
    <row r="550" spans="1:3" x14ac:dyDescent="0.25">
      <c r="A550" s="13"/>
      <c r="B550" s="15"/>
      <c r="C550" s="3"/>
    </row>
    <row r="551" spans="1:3" x14ac:dyDescent="0.25">
      <c r="A551" s="13"/>
      <c r="B551" s="15"/>
      <c r="C551" s="3"/>
    </row>
    <row r="552" spans="1:3" x14ac:dyDescent="0.25">
      <c r="A552" s="13"/>
      <c r="B552" s="15"/>
      <c r="C552" s="3"/>
    </row>
    <row r="553" spans="1:3" x14ac:dyDescent="0.25">
      <c r="A553" s="13"/>
      <c r="B553" s="15"/>
      <c r="C553" s="3"/>
    </row>
    <row r="554" spans="1:3" x14ac:dyDescent="0.25">
      <c r="A554" s="13"/>
      <c r="B554" s="15"/>
      <c r="C554" s="3"/>
    </row>
    <row r="555" spans="1:3" x14ac:dyDescent="0.25">
      <c r="A555" s="13"/>
      <c r="B555" s="15"/>
      <c r="C555" s="3"/>
    </row>
    <row r="556" spans="1:3" x14ac:dyDescent="0.25">
      <c r="A556" s="13"/>
      <c r="B556" s="15"/>
      <c r="C556" s="3"/>
    </row>
    <row r="557" spans="1:3" x14ac:dyDescent="0.25">
      <c r="A557" s="13"/>
      <c r="B557" s="15"/>
      <c r="C557" s="3"/>
    </row>
    <row r="558" spans="1:3" x14ac:dyDescent="0.25">
      <c r="A558" s="13"/>
      <c r="B558" s="15"/>
      <c r="C558" s="3"/>
    </row>
    <row r="559" spans="1:3" x14ac:dyDescent="0.25">
      <c r="A559" s="13"/>
      <c r="B559" s="15"/>
      <c r="C559" s="3"/>
    </row>
    <row r="560" spans="1:3" x14ac:dyDescent="0.25">
      <c r="A560" s="13"/>
      <c r="B560" s="15"/>
      <c r="C560" s="3"/>
    </row>
    <row r="561" spans="1:3" x14ac:dyDescent="0.25">
      <c r="A561" s="13"/>
      <c r="B561" s="15"/>
      <c r="C561" s="3"/>
    </row>
    <row r="562" spans="1:3" x14ac:dyDescent="0.25">
      <c r="A562" s="13"/>
      <c r="B562" s="15"/>
      <c r="C562" s="3"/>
    </row>
    <row r="563" spans="1:3" x14ac:dyDescent="0.25">
      <c r="A563" s="13"/>
      <c r="B563" s="15"/>
      <c r="C563" s="3"/>
    </row>
    <row r="564" spans="1:3" x14ac:dyDescent="0.25">
      <c r="A564" s="13"/>
      <c r="B564" s="15"/>
      <c r="C564" s="3"/>
    </row>
    <row r="565" spans="1:3" x14ac:dyDescent="0.25">
      <c r="A565" s="13"/>
      <c r="B565" s="15"/>
      <c r="C565" s="3"/>
    </row>
    <row r="566" spans="1:3" x14ac:dyDescent="0.25">
      <c r="A566" s="13"/>
      <c r="B566" s="15"/>
      <c r="C566" s="3"/>
    </row>
    <row r="567" spans="1:3" x14ac:dyDescent="0.25">
      <c r="A567" s="13"/>
      <c r="B567" s="15"/>
      <c r="C567" s="3"/>
    </row>
    <row r="568" spans="1:3" x14ac:dyDescent="0.25">
      <c r="A568" s="13"/>
      <c r="B568" s="15"/>
      <c r="C568" s="3"/>
    </row>
    <row r="569" spans="1:3" x14ac:dyDescent="0.25">
      <c r="A569" s="13"/>
      <c r="B569" s="15"/>
      <c r="C569" s="3"/>
    </row>
    <row r="570" spans="1:3" x14ac:dyDescent="0.25">
      <c r="A570" s="13"/>
      <c r="B570" s="15"/>
      <c r="C570" s="3"/>
    </row>
    <row r="571" spans="1:3" x14ac:dyDescent="0.25">
      <c r="A571" s="13"/>
      <c r="B571" s="15"/>
      <c r="C571" s="3"/>
    </row>
    <row r="572" spans="1:3" x14ac:dyDescent="0.25">
      <c r="A572" s="13"/>
      <c r="B572" s="15"/>
      <c r="C572" s="3"/>
    </row>
    <row r="573" spans="1:3" x14ac:dyDescent="0.25">
      <c r="A573" s="13"/>
      <c r="B573" s="15"/>
      <c r="C573" s="3"/>
    </row>
    <row r="574" spans="1:3" x14ac:dyDescent="0.25">
      <c r="A574" s="13"/>
      <c r="B574" s="15"/>
      <c r="C574" s="3"/>
    </row>
    <row r="575" spans="1:3" x14ac:dyDescent="0.25">
      <c r="A575" s="13"/>
      <c r="B575" s="15"/>
      <c r="C575" s="3"/>
    </row>
    <row r="576" spans="1:3" x14ac:dyDescent="0.25">
      <c r="A576" s="13"/>
      <c r="B576" s="15"/>
      <c r="C576" s="3"/>
    </row>
    <row r="577" spans="1:3" x14ac:dyDescent="0.25">
      <c r="A577" s="13"/>
      <c r="B577" s="15"/>
      <c r="C577" s="3"/>
    </row>
    <row r="578" spans="1:3" x14ac:dyDescent="0.25">
      <c r="A578" s="13"/>
      <c r="B578" s="15"/>
      <c r="C578" s="3"/>
    </row>
    <row r="579" spans="1:3" x14ac:dyDescent="0.25">
      <c r="A579" s="13"/>
      <c r="B579" s="15"/>
      <c r="C579" s="3"/>
    </row>
    <row r="580" spans="1:3" x14ac:dyDescent="0.25">
      <c r="A580" s="13"/>
      <c r="B580" s="15"/>
      <c r="C580" s="3"/>
    </row>
    <row r="581" spans="1:3" x14ac:dyDescent="0.25">
      <c r="A581" s="13"/>
      <c r="B581" s="15"/>
      <c r="C581" s="3"/>
    </row>
    <row r="582" spans="1:3" x14ac:dyDescent="0.25">
      <c r="A582" s="13"/>
      <c r="B582" s="15"/>
      <c r="C582" s="3"/>
    </row>
    <row r="583" spans="1:3" x14ac:dyDescent="0.25">
      <c r="A583" s="13"/>
      <c r="B583" s="15"/>
      <c r="C583" s="3"/>
    </row>
    <row r="584" spans="1:3" x14ac:dyDescent="0.25">
      <c r="A584" s="13"/>
      <c r="B584" s="15"/>
      <c r="C584" s="3"/>
    </row>
    <row r="585" spans="1:3" x14ac:dyDescent="0.25">
      <c r="A585" s="13"/>
      <c r="B585" s="15"/>
      <c r="C585" s="3"/>
    </row>
    <row r="586" spans="1:3" x14ac:dyDescent="0.25">
      <c r="A586" s="13"/>
      <c r="B586" s="15"/>
      <c r="C586" s="3"/>
    </row>
    <row r="587" spans="1:3" x14ac:dyDescent="0.25">
      <c r="A587" s="13"/>
      <c r="B587" s="15"/>
      <c r="C587" s="3"/>
    </row>
    <row r="588" spans="1:3" x14ac:dyDescent="0.25">
      <c r="A588" s="13"/>
      <c r="B588" s="15"/>
      <c r="C588" s="3"/>
    </row>
    <row r="589" spans="1:3" x14ac:dyDescent="0.25">
      <c r="A589" s="13"/>
      <c r="B589" s="15"/>
      <c r="C589" s="3"/>
    </row>
    <row r="590" spans="1:3" x14ac:dyDescent="0.25">
      <c r="A590" s="13"/>
      <c r="B590" s="15"/>
      <c r="C590" s="3"/>
    </row>
    <row r="591" spans="1:3" x14ac:dyDescent="0.25">
      <c r="A591" s="13"/>
      <c r="B591" s="15"/>
      <c r="C591" s="3"/>
    </row>
    <row r="592" spans="1:3" x14ac:dyDescent="0.25">
      <c r="A592" s="13"/>
      <c r="B592" s="15"/>
      <c r="C592" s="3"/>
    </row>
    <row r="593" spans="1:3" x14ac:dyDescent="0.25">
      <c r="A593" s="13"/>
      <c r="B593" s="15"/>
      <c r="C593" s="3"/>
    </row>
    <row r="594" spans="1:3" x14ac:dyDescent="0.25">
      <c r="A594" s="13"/>
      <c r="B594" s="15"/>
      <c r="C594" s="3"/>
    </row>
    <row r="595" spans="1:3" x14ac:dyDescent="0.25">
      <c r="A595" s="13"/>
      <c r="B595" s="15"/>
      <c r="C595" s="3"/>
    </row>
    <row r="596" spans="1:3" x14ac:dyDescent="0.25">
      <c r="A596" s="13"/>
      <c r="B596" s="15"/>
      <c r="C596" s="3"/>
    </row>
    <row r="597" spans="1:3" x14ac:dyDescent="0.25">
      <c r="A597" s="13"/>
      <c r="B597" s="15"/>
      <c r="C597" s="3"/>
    </row>
    <row r="598" spans="1:3" x14ac:dyDescent="0.25">
      <c r="A598" s="13"/>
      <c r="B598" s="15"/>
      <c r="C598" s="3"/>
    </row>
    <row r="599" spans="1:3" x14ac:dyDescent="0.25">
      <c r="A599" s="13"/>
      <c r="B599" s="15"/>
      <c r="C599" s="3"/>
    </row>
    <row r="600" spans="1:3" x14ac:dyDescent="0.25">
      <c r="A600" s="13"/>
      <c r="B600" s="15"/>
      <c r="C600" s="3"/>
    </row>
    <row r="601" spans="1:3" x14ac:dyDescent="0.25">
      <c r="A601" s="13"/>
      <c r="B601" s="15"/>
      <c r="C601" s="3"/>
    </row>
    <row r="602" spans="1:3" x14ac:dyDescent="0.25">
      <c r="A602" s="13"/>
      <c r="B602" s="15"/>
      <c r="C602" s="3"/>
    </row>
    <row r="603" spans="1:3" x14ac:dyDescent="0.25">
      <c r="A603" s="13"/>
      <c r="B603" s="15"/>
      <c r="C603" s="3"/>
    </row>
    <row r="604" spans="1:3" x14ac:dyDescent="0.25">
      <c r="A604" s="13"/>
      <c r="B604" s="15"/>
      <c r="C604" s="3"/>
    </row>
    <row r="605" spans="1:3" x14ac:dyDescent="0.25">
      <c r="A605" s="13"/>
      <c r="B605" s="15"/>
      <c r="C605" s="3"/>
    </row>
    <row r="606" spans="1:3" x14ac:dyDescent="0.25">
      <c r="A606" s="13"/>
      <c r="B606" s="15"/>
      <c r="C606" s="3"/>
    </row>
    <row r="607" spans="1:3" x14ac:dyDescent="0.25">
      <c r="A607" s="13"/>
      <c r="B607" s="15"/>
      <c r="C607" s="3"/>
    </row>
    <row r="608" spans="1:3" x14ac:dyDescent="0.25">
      <c r="A608" s="13"/>
      <c r="B608" s="15"/>
      <c r="C608" s="3"/>
    </row>
    <row r="609" spans="1:3" x14ac:dyDescent="0.25">
      <c r="A609" s="13"/>
      <c r="B609" s="15"/>
      <c r="C609" s="3"/>
    </row>
    <row r="610" spans="1:3" x14ac:dyDescent="0.25">
      <c r="A610" s="13"/>
      <c r="B610" s="15"/>
      <c r="C610" s="3"/>
    </row>
    <row r="611" spans="1:3" x14ac:dyDescent="0.25">
      <c r="A611" s="13"/>
      <c r="B611" s="15"/>
      <c r="C611" s="3"/>
    </row>
    <row r="612" spans="1:3" x14ac:dyDescent="0.25">
      <c r="A612" s="13"/>
      <c r="B612" s="15"/>
      <c r="C612" s="3"/>
    </row>
    <row r="613" spans="1:3" x14ac:dyDescent="0.25">
      <c r="A613" s="13"/>
      <c r="B613" s="15"/>
      <c r="C613" s="3"/>
    </row>
    <row r="614" spans="1:3" x14ac:dyDescent="0.25">
      <c r="A614" s="13"/>
      <c r="B614" s="15"/>
      <c r="C614" s="3"/>
    </row>
    <row r="615" spans="1:3" x14ac:dyDescent="0.25">
      <c r="A615" s="13"/>
      <c r="B615" s="15"/>
      <c r="C615" s="3"/>
    </row>
    <row r="616" spans="1:3" x14ac:dyDescent="0.25">
      <c r="A616" s="13"/>
      <c r="B616" s="15"/>
      <c r="C616" s="3"/>
    </row>
    <row r="617" spans="1:3" x14ac:dyDescent="0.25">
      <c r="A617" s="13"/>
      <c r="B617" s="15"/>
      <c r="C617" s="3"/>
    </row>
    <row r="618" spans="1:3" x14ac:dyDescent="0.25">
      <c r="A618" s="13"/>
      <c r="B618" s="15"/>
      <c r="C618" s="3"/>
    </row>
    <row r="619" spans="1:3" x14ac:dyDescent="0.25">
      <c r="A619" s="13"/>
      <c r="B619" s="15"/>
      <c r="C619" s="3"/>
    </row>
    <row r="620" spans="1:3" x14ac:dyDescent="0.25">
      <c r="A620" s="13"/>
      <c r="B620" s="15"/>
      <c r="C620" s="3"/>
    </row>
    <row r="621" spans="1:3" x14ac:dyDescent="0.25">
      <c r="A621" s="13"/>
      <c r="B621" s="15"/>
      <c r="C621" s="3"/>
    </row>
    <row r="622" spans="1:3" x14ac:dyDescent="0.25">
      <c r="A622" s="13"/>
      <c r="B622" s="15"/>
      <c r="C622" s="3"/>
    </row>
    <row r="623" spans="1:3" x14ac:dyDescent="0.25">
      <c r="A623" s="13"/>
      <c r="B623" s="15"/>
      <c r="C623" s="3"/>
    </row>
    <row r="624" spans="1:3" x14ac:dyDescent="0.25">
      <c r="A624" s="13"/>
      <c r="B624" s="15"/>
      <c r="C624" s="3"/>
    </row>
    <row r="625" spans="1:3" x14ac:dyDescent="0.25">
      <c r="A625" s="13"/>
      <c r="B625" s="15"/>
      <c r="C625" s="3"/>
    </row>
    <row r="626" spans="1:3" x14ac:dyDescent="0.25">
      <c r="A626" s="13"/>
      <c r="B626" s="15"/>
      <c r="C626" s="3"/>
    </row>
    <row r="627" spans="1:3" x14ac:dyDescent="0.25">
      <c r="A627" s="13"/>
      <c r="B627" s="15"/>
      <c r="C627" s="3"/>
    </row>
    <row r="628" spans="1:3" x14ac:dyDescent="0.25">
      <c r="A628" s="13"/>
      <c r="B628" s="15"/>
      <c r="C628" s="3"/>
    </row>
    <row r="629" spans="1:3" x14ac:dyDescent="0.25">
      <c r="A629" s="13"/>
      <c r="B629" s="15"/>
      <c r="C629" s="3"/>
    </row>
    <row r="630" spans="1:3" x14ac:dyDescent="0.25">
      <c r="A630" s="13"/>
      <c r="B630" s="15"/>
      <c r="C630" s="3"/>
    </row>
    <row r="631" spans="1:3" x14ac:dyDescent="0.25">
      <c r="A631" s="13"/>
      <c r="B631" s="15"/>
      <c r="C631" s="3"/>
    </row>
    <row r="632" spans="1:3" x14ac:dyDescent="0.25">
      <c r="A632" s="13"/>
      <c r="B632" s="15"/>
      <c r="C632" s="3"/>
    </row>
    <row r="633" spans="1:3" x14ac:dyDescent="0.25">
      <c r="A633" s="13"/>
      <c r="B633" s="15"/>
      <c r="C633" s="3"/>
    </row>
    <row r="634" spans="1:3" x14ac:dyDescent="0.25">
      <c r="A634" s="13"/>
      <c r="B634" s="15"/>
      <c r="C634" s="3"/>
    </row>
    <row r="635" spans="1:3" x14ac:dyDescent="0.25">
      <c r="A635" s="13"/>
      <c r="B635" s="15"/>
      <c r="C635" s="3"/>
    </row>
    <row r="636" spans="1:3" x14ac:dyDescent="0.25">
      <c r="A636" s="13"/>
      <c r="B636" s="15"/>
      <c r="C636" s="3"/>
    </row>
    <row r="637" spans="1:3" x14ac:dyDescent="0.25">
      <c r="A637" s="13"/>
      <c r="B637" s="15"/>
      <c r="C637" s="3"/>
    </row>
    <row r="638" spans="1:3" x14ac:dyDescent="0.25">
      <c r="A638" s="13"/>
      <c r="B638" s="15"/>
      <c r="C638" s="3"/>
    </row>
    <row r="639" spans="1:3" x14ac:dyDescent="0.25">
      <c r="A639" s="13"/>
      <c r="B639" s="15"/>
      <c r="C639" s="3"/>
    </row>
    <row r="640" spans="1:3" x14ac:dyDescent="0.25">
      <c r="A640" s="13"/>
      <c r="B640" s="15"/>
      <c r="C640" s="3"/>
    </row>
    <row r="641" spans="1:3" x14ac:dyDescent="0.25">
      <c r="A641" s="13"/>
      <c r="B641" s="15"/>
      <c r="C641" s="3"/>
    </row>
    <row r="642" spans="1:3" x14ac:dyDescent="0.25">
      <c r="A642" s="13"/>
      <c r="B642" s="15"/>
      <c r="C642" s="3"/>
    </row>
    <row r="643" spans="1:3" x14ac:dyDescent="0.25">
      <c r="A643" s="13"/>
      <c r="B643" s="15"/>
      <c r="C643" s="3"/>
    </row>
    <row r="644" spans="1:3" x14ac:dyDescent="0.25">
      <c r="A644" s="13"/>
      <c r="B644" s="15"/>
      <c r="C644" s="3"/>
    </row>
    <row r="645" spans="1:3" x14ac:dyDescent="0.25">
      <c r="A645" s="13"/>
      <c r="B645" s="15"/>
      <c r="C645" s="3"/>
    </row>
    <row r="646" spans="1:3" x14ac:dyDescent="0.25">
      <c r="A646" s="13"/>
      <c r="B646" s="15"/>
      <c r="C646" s="3"/>
    </row>
    <row r="647" spans="1:3" x14ac:dyDescent="0.25">
      <c r="A647" s="13"/>
      <c r="B647" s="15"/>
      <c r="C647" s="3"/>
    </row>
    <row r="648" spans="1:3" x14ac:dyDescent="0.25">
      <c r="A648" s="13"/>
      <c r="B648" s="15"/>
      <c r="C648" s="3"/>
    </row>
    <row r="649" spans="1:3" x14ac:dyDescent="0.25">
      <c r="A649" s="13"/>
      <c r="B649" s="15"/>
      <c r="C649" s="3"/>
    </row>
    <row r="650" spans="1:3" x14ac:dyDescent="0.25">
      <c r="A650" s="13"/>
      <c r="B650" s="15"/>
      <c r="C650" s="3"/>
    </row>
    <row r="651" spans="1:3" x14ac:dyDescent="0.25">
      <c r="A651" s="13"/>
      <c r="B651" s="15"/>
      <c r="C651" s="3"/>
    </row>
    <row r="652" spans="1:3" x14ac:dyDescent="0.25">
      <c r="A652" s="13"/>
      <c r="B652" s="15"/>
      <c r="C652" s="3"/>
    </row>
    <row r="653" spans="1:3" x14ac:dyDescent="0.25">
      <c r="A653" s="13"/>
      <c r="B653" s="15"/>
      <c r="C653" s="3"/>
    </row>
    <row r="654" spans="1:3" x14ac:dyDescent="0.25">
      <c r="A654" s="13"/>
      <c r="B654" s="15"/>
      <c r="C654" s="3"/>
    </row>
    <row r="655" spans="1:3" x14ac:dyDescent="0.25">
      <c r="A655" s="13"/>
      <c r="B655" s="15"/>
      <c r="C655" s="3"/>
    </row>
    <row r="656" spans="1:3" x14ac:dyDescent="0.25">
      <c r="A656" s="13"/>
      <c r="B656" s="15"/>
      <c r="C656" s="3"/>
    </row>
    <row r="657" spans="1:3" x14ac:dyDescent="0.25">
      <c r="A657" s="13"/>
      <c r="B657" s="15"/>
      <c r="C657" s="3"/>
    </row>
    <row r="658" spans="1:3" x14ac:dyDescent="0.25">
      <c r="A658" s="13"/>
      <c r="B658" s="15"/>
      <c r="C658" s="3"/>
    </row>
    <row r="659" spans="1:3" x14ac:dyDescent="0.25">
      <c r="A659" s="13"/>
      <c r="B659" s="15"/>
      <c r="C659" s="3"/>
    </row>
    <row r="660" spans="1:3" x14ac:dyDescent="0.25">
      <c r="A660" s="13"/>
      <c r="B660" s="15"/>
      <c r="C660" s="3"/>
    </row>
    <row r="661" spans="1:3" x14ac:dyDescent="0.25">
      <c r="A661" s="13"/>
      <c r="B661" s="15"/>
      <c r="C661" s="3"/>
    </row>
    <row r="662" spans="1:3" x14ac:dyDescent="0.25">
      <c r="A662" s="13"/>
      <c r="B662" s="15"/>
      <c r="C662" s="3"/>
    </row>
    <row r="663" spans="1:3" x14ac:dyDescent="0.25">
      <c r="A663" s="13"/>
      <c r="B663" s="15"/>
      <c r="C663" s="3"/>
    </row>
    <row r="664" spans="1:3" x14ac:dyDescent="0.25">
      <c r="A664" s="13"/>
      <c r="B664" s="15"/>
      <c r="C664" s="3"/>
    </row>
    <row r="665" spans="1:3" x14ac:dyDescent="0.25">
      <c r="A665" s="13"/>
      <c r="B665" s="15"/>
      <c r="C665" s="3"/>
    </row>
    <row r="666" spans="1:3" x14ac:dyDescent="0.25">
      <c r="A666" s="13"/>
      <c r="B666" s="15"/>
      <c r="C666" s="3"/>
    </row>
    <row r="667" spans="1:3" x14ac:dyDescent="0.25">
      <c r="A667" s="13"/>
      <c r="B667" s="15"/>
      <c r="C667" s="3"/>
    </row>
    <row r="668" spans="1:3" x14ac:dyDescent="0.25">
      <c r="A668" s="13"/>
      <c r="B668" s="15"/>
      <c r="C668" s="3"/>
    </row>
    <row r="669" spans="1:3" x14ac:dyDescent="0.25">
      <c r="A669" s="13"/>
      <c r="B669" s="15"/>
      <c r="C669" s="3"/>
    </row>
    <row r="670" spans="1:3" x14ac:dyDescent="0.25">
      <c r="A670" s="13"/>
      <c r="B670" s="15"/>
      <c r="C670" s="3"/>
    </row>
    <row r="671" spans="1:3" x14ac:dyDescent="0.25">
      <c r="A671" s="13"/>
      <c r="B671" s="15"/>
      <c r="C671" s="3"/>
    </row>
    <row r="672" spans="1:3" x14ac:dyDescent="0.25">
      <c r="A672" s="13"/>
      <c r="B672" s="15"/>
      <c r="C672" s="3"/>
    </row>
    <row r="673" spans="1:3" x14ac:dyDescent="0.25">
      <c r="A673" s="13"/>
      <c r="B673" s="15"/>
      <c r="C673" s="3"/>
    </row>
    <row r="674" spans="1:3" x14ac:dyDescent="0.25">
      <c r="A674" s="13"/>
      <c r="B674" s="15"/>
      <c r="C674" s="3"/>
    </row>
    <row r="675" spans="1:3" x14ac:dyDescent="0.25">
      <c r="A675" s="13"/>
      <c r="B675" s="15"/>
      <c r="C675" s="3"/>
    </row>
    <row r="676" spans="1:3" x14ac:dyDescent="0.25">
      <c r="A676" s="13"/>
      <c r="B676" s="15"/>
      <c r="C676" s="3"/>
    </row>
    <row r="677" spans="1:3" x14ac:dyDescent="0.25">
      <c r="A677" s="13"/>
      <c r="B677" s="15"/>
      <c r="C677" s="3"/>
    </row>
    <row r="678" spans="1:3" x14ac:dyDescent="0.25">
      <c r="A678" s="13"/>
      <c r="B678" s="15"/>
      <c r="C678" s="3"/>
    </row>
    <row r="679" spans="1:3" x14ac:dyDescent="0.25">
      <c r="A679" s="13"/>
      <c r="B679" s="15"/>
      <c r="C679" s="3"/>
    </row>
    <row r="680" spans="1:3" x14ac:dyDescent="0.25">
      <c r="A680" s="13"/>
      <c r="B680" s="15"/>
      <c r="C680" s="3"/>
    </row>
    <row r="681" spans="1:3" x14ac:dyDescent="0.25">
      <c r="A681" s="13"/>
      <c r="B681" s="15"/>
      <c r="C681" s="3"/>
    </row>
    <row r="682" spans="1:3" x14ac:dyDescent="0.25">
      <c r="A682" s="13"/>
      <c r="B682" s="15"/>
      <c r="C682" s="3"/>
    </row>
    <row r="683" spans="1:3" x14ac:dyDescent="0.25">
      <c r="A683" s="13"/>
      <c r="B683" s="15"/>
      <c r="C683" s="3"/>
    </row>
    <row r="684" spans="1:3" x14ac:dyDescent="0.25">
      <c r="A684" s="13"/>
      <c r="B684" s="15"/>
      <c r="C684" s="3"/>
    </row>
    <row r="685" spans="1:3" x14ac:dyDescent="0.25">
      <c r="A685" s="13"/>
      <c r="B685" s="15"/>
      <c r="C685" s="3"/>
    </row>
    <row r="686" spans="1:3" x14ac:dyDescent="0.25">
      <c r="A686" s="13"/>
      <c r="B686" s="15"/>
      <c r="C686" s="3"/>
    </row>
    <row r="687" spans="1:3" x14ac:dyDescent="0.25">
      <c r="A687" s="13"/>
      <c r="B687" s="15"/>
      <c r="C687" s="3"/>
    </row>
    <row r="688" spans="1:3" x14ac:dyDescent="0.25">
      <c r="A688" s="13"/>
      <c r="B688" s="15"/>
      <c r="C688" s="3"/>
    </row>
    <row r="689" spans="1:3" x14ac:dyDescent="0.25">
      <c r="A689" s="13"/>
      <c r="B689" s="15"/>
      <c r="C689" s="3"/>
    </row>
    <row r="690" spans="1:3" x14ac:dyDescent="0.25">
      <c r="A690" s="13"/>
      <c r="B690" s="15"/>
      <c r="C690" s="3"/>
    </row>
    <row r="691" spans="1:3" x14ac:dyDescent="0.25">
      <c r="A691" s="13"/>
      <c r="B691" s="15"/>
      <c r="C691" s="3"/>
    </row>
    <row r="692" spans="1:3" x14ac:dyDescent="0.25">
      <c r="A692" s="13"/>
      <c r="B692" s="15"/>
      <c r="C692" s="3"/>
    </row>
    <row r="693" spans="1:3" x14ac:dyDescent="0.25">
      <c r="A693" s="13"/>
      <c r="B693" s="15"/>
      <c r="C693" s="3"/>
    </row>
    <row r="694" spans="1:3" x14ac:dyDescent="0.25">
      <c r="A694" s="13"/>
      <c r="B694" s="15"/>
      <c r="C694" s="3"/>
    </row>
    <row r="695" spans="1:3" x14ac:dyDescent="0.25">
      <c r="A695" s="13"/>
      <c r="B695" s="15"/>
      <c r="C695" s="3"/>
    </row>
  </sheetData>
  <autoFilter ref="A1:C31">
    <sortState ref="A2:C36">
      <sortCondition ref="A1:A31"/>
    </sortState>
  </autoFilter>
  <sortState ref="A2:D36">
    <sortCondition ref="B2:B3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sqref="A1:E7"/>
      <pivotSelection pane="bottomRight" showHeader="1" click="1" r:id="rId1">
        <pivotArea type="all" dataOnly="0" outline="0" fieldPosition="0"/>
      </pivotSelection>
    </sheetView>
  </sheetViews>
  <sheetFormatPr defaultRowHeight="15" x14ac:dyDescent="0.25"/>
  <cols>
    <col min="1" max="1" width="11.28515625" customWidth="1"/>
    <col min="2" max="2" width="12.7109375" customWidth="1"/>
    <col min="3" max="3" width="13.28515625" customWidth="1"/>
    <col min="4" max="4" width="16.42578125" bestFit="1" customWidth="1"/>
    <col min="5" max="5" width="13.28515625" bestFit="1" customWidth="1"/>
    <col min="6" max="6" width="17.85546875" bestFit="1" customWidth="1"/>
    <col min="7" max="7" width="18.28515625" bestFit="1" customWidth="1"/>
  </cols>
  <sheetData>
    <row r="1" spans="1:5" x14ac:dyDescent="0.25">
      <c r="B1" s="3" t="s">
        <v>16</v>
      </c>
      <c r="D1" s="3" t="s">
        <v>17</v>
      </c>
    </row>
    <row r="2" spans="1:5" x14ac:dyDescent="0.25">
      <c r="B2" s="3" t="s">
        <v>27</v>
      </c>
      <c r="C2" s="3" t="s">
        <v>28</v>
      </c>
      <c r="D2" s="3" t="s">
        <v>27</v>
      </c>
      <c r="E2" s="3" t="s">
        <v>28</v>
      </c>
    </row>
    <row r="3" spans="1:5" x14ac:dyDescent="0.25">
      <c r="A3" s="4" t="s">
        <v>22</v>
      </c>
      <c r="B3" s="22">
        <v>8</v>
      </c>
      <c r="C3" s="22">
        <v>6</v>
      </c>
      <c r="D3" s="22">
        <v>4</v>
      </c>
      <c r="E3" s="22">
        <v>2</v>
      </c>
    </row>
    <row r="4" spans="1:5" x14ac:dyDescent="0.25">
      <c r="A4" s="4" t="s">
        <v>23</v>
      </c>
      <c r="B4" s="22">
        <v>14</v>
      </c>
      <c r="C4" s="22">
        <v>6</v>
      </c>
      <c r="D4" s="22">
        <v>8</v>
      </c>
      <c r="E4" s="22">
        <v>3</v>
      </c>
    </row>
    <row r="5" spans="1:5" x14ac:dyDescent="0.25">
      <c r="A5" s="4" t="s">
        <v>24</v>
      </c>
      <c r="B5" s="22">
        <v>14</v>
      </c>
      <c r="C5" s="22">
        <v>6</v>
      </c>
      <c r="D5" s="22">
        <v>6</v>
      </c>
      <c r="E5" s="22">
        <v>3</v>
      </c>
    </row>
    <row r="6" spans="1:5" x14ac:dyDescent="0.25">
      <c r="A6" s="4" t="s">
        <v>25</v>
      </c>
      <c r="B6" s="22">
        <v>13</v>
      </c>
      <c r="C6" s="22">
        <v>7</v>
      </c>
      <c r="D6" s="22">
        <v>2</v>
      </c>
      <c r="E6" s="22">
        <v>2</v>
      </c>
    </row>
    <row r="7" spans="1:5" x14ac:dyDescent="0.25">
      <c r="A7" s="4" t="s">
        <v>26</v>
      </c>
      <c r="B7" s="22">
        <v>49</v>
      </c>
      <c r="C7" s="22">
        <v>25</v>
      </c>
      <c r="D7" s="22">
        <v>20</v>
      </c>
      <c r="E7" s="22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7"/>
  <sheetViews>
    <sheetView workbookViewId="0">
      <selection sqref="A1:C27"/>
      <pivotSelection pane="bottomRight" showHeader="1" click="1" r:id="rId1">
        <pivotArea type="all" dataOnly="0" outline="0" fieldPosition="0"/>
      </pivotSelection>
    </sheetView>
  </sheetViews>
  <sheetFormatPr defaultRowHeight="15" x14ac:dyDescent="0.25"/>
  <cols>
    <col min="1" max="1" width="16.28515625" bestFit="1" customWidth="1"/>
    <col min="2" max="2" width="8.85546875" customWidth="1"/>
    <col min="3" max="3" width="14.140625" bestFit="1" customWidth="1"/>
    <col min="4" max="4" width="12" bestFit="1" customWidth="1"/>
  </cols>
  <sheetData>
    <row r="1" spans="1:3" x14ac:dyDescent="0.25">
      <c r="A1" s="21" t="s">
        <v>31</v>
      </c>
    </row>
    <row r="2" spans="1:3" x14ac:dyDescent="0.25">
      <c r="B2" s="3" t="s">
        <v>16</v>
      </c>
      <c r="C2" s="3" t="s">
        <v>17</v>
      </c>
    </row>
    <row r="3" spans="1:3" x14ac:dyDescent="0.25">
      <c r="A3" s="23">
        <v>36161</v>
      </c>
      <c r="B3" s="22">
        <v>1</v>
      </c>
      <c r="C3" s="22">
        <v>1</v>
      </c>
    </row>
    <row r="4" spans="1:3" x14ac:dyDescent="0.25">
      <c r="A4" s="23">
        <v>36192</v>
      </c>
      <c r="B4" s="22">
        <v>1</v>
      </c>
      <c r="C4" s="22">
        <v>1</v>
      </c>
    </row>
    <row r="5" spans="1:3" x14ac:dyDescent="0.25">
      <c r="A5" s="23">
        <v>36220</v>
      </c>
      <c r="B5" s="22">
        <v>2</v>
      </c>
      <c r="C5" s="22">
        <v>2</v>
      </c>
    </row>
    <row r="6" spans="1:3" x14ac:dyDescent="0.25">
      <c r="A6" s="23">
        <v>36251</v>
      </c>
      <c r="B6" s="22">
        <v>2</v>
      </c>
      <c r="C6" s="22">
        <v>3</v>
      </c>
    </row>
    <row r="7" spans="1:3" x14ac:dyDescent="0.25">
      <c r="A7" s="23">
        <v>36281</v>
      </c>
      <c r="B7" s="22">
        <v>3</v>
      </c>
      <c r="C7" s="22">
        <v>3</v>
      </c>
    </row>
    <row r="8" spans="1:3" x14ac:dyDescent="0.25">
      <c r="A8" s="23">
        <v>36312</v>
      </c>
      <c r="B8" s="22">
        <v>3</v>
      </c>
      <c r="C8" s="22">
        <v>2</v>
      </c>
    </row>
    <row r="9" spans="1:3" x14ac:dyDescent="0.25">
      <c r="A9" s="23">
        <v>36342</v>
      </c>
      <c r="B9" s="22">
        <v>2</v>
      </c>
      <c r="C9" s="22">
        <v>2</v>
      </c>
    </row>
    <row r="10" spans="1:3" x14ac:dyDescent="0.25">
      <c r="A10" s="23">
        <v>36373</v>
      </c>
      <c r="B10" s="22">
        <v>2</v>
      </c>
      <c r="C10" s="22">
        <v>2</v>
      </c>
    </row>
    <row r="11" spans="1:3" x14ac:dyDescent="0.25">
      <c r="A11" s="23">
        <v>36404</v>
      </c>
      <c r="B11" s="22">
        <v>2</v>
      </c>
      <c r="C11" s="22">
        <v>2</v>
      </c>
    </row>
    <row r="12" spans="1:3" x14ac:dyDescent="0.25">
      <c r="A12" s="23">
        <v>36434</v>
      </c>
      <c r="B12" s="22">
        <v>1</v>
      </c>
      <c r="C12" s="22">
        <v>2</v>
      </c>
    </row>
    <row r="13" spans="1:3" x14ac:dyDescent="0.25">
      <c r="A13" s="23">
        <v>36465</v>
      </c>
      <c r="B13" s="22">
        <v>1</v>
      </c>
      <c r="C13" s="22"/>
    </row>
    <row r="14" spans="1:3" x14ac:dyDescent="0.25">
      <c r="A14" s="23">
        <v>36495</v>
      </c>
      <c r="B14" s="22">
        <v>3</v>
      </c>
      <c r="C14" s="22"/>
    </row>
    <row r="15" spans="1:3" x14ac:dyDescent="0.25">
      <c r="A15" s="23">
        <v>36526</v>
      </c>
      <c r="B15" s="22">
        <v>1</v>
      </c>
      <c r="C15" s="22"/>
    </row>
    <row r="16" spans="1:3" x14ac:dyDescent="0.25">
      <c r="A16" s="23">
        <v>36557</v>
      </c>
      <c r="B16" s="22">
        <v>1</v>
      </c>
      <c r="C16" s="22"/>
    </row>
    <row r="17" spans="1:3" x14ac:dyDescent="0.25">
      <c r="A17" s="23">
        <v>36586</v>
      </c>
      <c r="B17" s="22">
        <v>2</v>
      </c>
      <c r="C17" s="22"/>
    </row>
    <row r="18" spans="1:3" x14ac:dyDescent="0.25">
      <c r="A18" s="23">
        <v>36617</v>
      </c>
      <c r="B18" s="22">
        <v>2</v>
      </c>
      <c r="C18" s="22"/>
    </row>
    <row r="19" spans="1:3" x14ac:dyDescent="0.25">
      <c r="A19" s="23">
        <v>36647</v>
      </c>
      <c r="B19" s="22">
        <v>3</v>
      </c>
      <c r="C19" s="22"/>
    </row>
    <row r="20" spans="1:3" x14ac:dyDescent="0.25">
      <c r="A20" s="23">
        <v>36678</v>
      </c>
      <c r="B20" s="22">
        <v>3</v>
      </c>
      <c r="C20" s="22"/>
    </row>
    <row r="21" spans="1:3" x14ac:dyDescent="0.25">
      <c r="A21" s="23">
        <v>36708</v>
      </c>
      <c r="B21" s="22">
        <v>2</v>
      </c>
      <c r="C21" s="22"/>
    </row>
    <row r="22" spans="1:3" x14ac:dyDescent="0.25">
      <c r="A22" s="23">
        <v>36739</v>
      </c>
      <c r="B22" s="22">
        <v>2</v>
      </c>
      <c r="C22" s="22"/>
    </row>
    <row r="23" spans="1:3" x14ac:dyDescent="0.25">
      <c r="A23" s="23">
        <v>36770</v>
      </c>
      <c r="B23" s="22">
        <v>2</v>
      </c>
      <c r="C23" s="22"/>
    </row>
    <row r="24" spans="1:3" x14ac:dyDescent="0.25">
      <c r="A24" s="23">
        <v>36800</v>
      </c>
      <c r="B24" s="22">
        <v>1</v>
      </c>
      <c r="C24" s="22"/>
    </row>
    <row r="25" spans="1:3" x14ac:dyDescent="0.25">
      <c r="A25" s="23">
        <v>36831</v>
      </c>
      <c r="B25" s="22">
        <v>1</v>
      </c>
      <c r="C25" s="22"/>
    </row>
    <row r="26" spans="1:3" x14ac:dyDescent="0.25">
      <c r="A26" s="23">
        <v>36861</v>
      </c>
      <c r="B26" s="22">
        <v>5</v>
      </c>
      <c r="C26" s="22"/>
    </row>
    <row r="27" spans="1:3" x14ac:dyDescent="0.25">
      <c r="A27" s="23">
        <v>36892</v>
      </c>
      <c r="B27" s="22">
        <v>1</v>
      </c>
      <c r="C27" s="2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7"/>
  <sheetViews>
    <sheetView workbookViewId="0"/>
  </sheetViews>
  <sheetFormatPr defaultRowHeight="15" x14ac:dyDescent="0.25"/>
  <sheetData>
    <row r="1" spans="1:3" x14ac:dyDescent="0.25">
      <c r="A1" t="s">
        <v>29</v>
      </c>
      <c r="B1" t="s">
        <v>16</v>
      </c>
      <c r="C1" t="s">
        <v>17</v>
      </c>
    </row>
    <row r="2" spans="1:3" x14ac:dyDescent="0.25">
      <c r="B2" t="s">
        <v>27</v>
      </c>
      <c r="C2" t="s">
        <v>27</v>
      </c>
    </row>
    <row r="3" spans="1:3" x14ac:dyDescent="0.25">
      <c r="A3" t="s">
        <v>22</v>
      </c>
      <c r="B3">
        <f>8/6</f>
        <v>1.3333333333333333</v>
      </c>
      <c r="C3">
        <f>4/2</f>
        <v>2</v>
      </c>
    </row>
    <row r="4" spans="1:3" x14ac:dyDescent="0.25">
      <c r="A4" t="s">
        <v>23</v>
      </c>
      <c r="B4">
        <f>14/6</f>
        <v>2.3333333333333335</v>
      </c>
      <c r="C4">
        <f>8/3</f>
        <v>2.6666666666666665</v>
      </c>
    </row>
    <row r="5" spans="1:3" x14ac:dyDescent="0.25">
      <c r="A5" t="s">
        <v>24</v>
      </c>
      <c r="B5">
        <f>14/6</f>
        <v>2.3333333333333335</v>
      </c>
      <c r="C5">
        <f>6/3</f>
        <v>2</v>
      </c>
    </row>
    <row r="6" spans="1:3" x14ac:dyDescent="0.25">
      <c r="A6" t="s">
        <v>25</v>
      </c>
      <c r="B6">
        <f>13/7</f>
        <v>1.8571428571428572</v>
      </c>
      <c r="C6">
        <f>2/2</f>
        <v>1</v>
      </c>
    </row>
    <row r="7" spans="1:3" x14ac:dyDescent="0.25">
      <c r="A7" t="s">
        <v>26</v>
      </c>
      <c r="B7">
        <f>49/25</f>
        <v>1.96</v>
      </c>
      <c r="C7">
        <f>20/10</f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"/>
  <sheetViews>
    <sheetView workbookViewId="0"/>
  </sheetViews>
  <sheetFormatPr defaultRowHeight="15" x14ac:dyDescent="0.25"/>
  <sheetData>
    <row r="1" spans="1:3" x14ac:dyDescent="0.25">
      <c r="A1" t="s">
        <v>30</v>
      </c>
      <c r="B1" t="s">
        <v>16</v>
      </c>
      <c r="C1" t="s">
        <v>17</v>
      </c>
    </row>
    <row r="2" spans="1:3" x14ac:dyDescent="0.25">
      <c r="B2" t="s">
        <v>30</v>
      </c>
      <c r="C2" t="s">
        <v>30</v>
      </c>
    </row>
    <row r="3" spans="1:3" x14ac:dyDescent="0.25">
      <c r="A3" t="s">
        <v>22</v>
      </c>
      <c r="B3">
        <f>1.33333333333333/AVERAGE('Event Corrected'!$B$3:$B$6)</f>
        <v>0.67878787878787705</v>
      </c>
      <c r="C3">
        <f>2/AVERAGE('Event Corrected'!$C$3:$C$6)</f>
        <v>1.0434782608695652</v>
      </c>
    </row>
    <row r="4" spans="1:3" x14ac:dyDescent="0.25">
      <c r="A4" t="s">
        <v>23</v>
      </c>
      <c r="B4">
        <f>2.33333333333333/AVERAGE('Event Corrected'!$B$3:$B$6)</f>
        <v>1.187878787878786</v>
      </c>
      <c r="C4">
        <f>2.66666666666667/AVERAGE('Event Corrected'!$C$3:$C$6)</f>
        <v>1.3913043478260889</v>
      </c>
    </row>
    <row r="5" spans="1:3" x14ac:dyDescent="0.25">
      <c r="A5" t="s">
        <v>24</v>
      </c>
      <c r="B5">
        <f>2.33333333333333/AVERAGE('Event Corrected'!$B$3:$B$6)</f>
        <v>1.187878787878786</v>
      </c>
      <c r="C5">
        <f>2/AVERAGE('Event Corrected'!$C$3:$C$6)</f>
        <v>1.0434782608695652</v>
      </c>
    </row>
    <row r="6" spans="1:3" x14ac:dyDescent="0.25">
      <c r="A6" t="s">
        <v>25</v>
      </c>
      <c r="B6">
        <f>1.85714285714286/AVERAGE('Event Corrected'!$B$3:$B$6)</f>
        <v>0.94545454545454688</v>
      </c>
      <c r="C6">
        <f>1/AVERAGE('Event Corrected'!$C$3:$C$6)</f>
        <v>0.52173913043478259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7"/>
  <sheetViews>
    <sheetView workbookViewId="0"/>
  </sheetViews>
  <sheetFormatPr defaultRowHeight="15" x14ac:dyDescent="0.25"/>
  <sheetData>
    <row r="1" spans="1:3" x14ac:dyDescent="0.25">
      <c r="A1" t="s">
        <v>32</v>
      </c>
    </row>
    <row r="2" spans="1:3" x14ac:dyDescent="0.25">
      <c r="B2" t="s">
        <v>16</v>
      </c>
      <c r="C2" t="s">
        <v>17</v>
      </c>
    </row>
    <row r="3" spans="1:3" x14ac:dyDescent="0.25">
      <c r="A3" t="str">
        <f>GetSelectedSeasonFromDate('Pivot(2)'!$A$3)</f>
        <v>Winter</v>
      </c>
      <c r="B3">
        <f>IFERROR('Pivot(2)'!$B$3/VLOOKUP($A$3,'Seasonal Index'!$A$3:$C$27,2),"")</f>
        <v>1.0576923076923062</v>
      </c>
      <c r="C3">
        <f>IFERROR('Pivot(2)'!$C$3/VLOOKUP($A$3,'Seasonal Index'!$A$3:$C$27,3),"")</f>
        <v>1.9166666666666667</v>
      </c>
    </row>
    <row r="4" spans="1:3" x14ac:dyDescent="0.25">
      <c r="A4" t="str">
        <f>GetSelectedSeasonFromDate('Pivot(2)'!$A$4)</f>
        <v>Winter</v>
      </c>
      <c r="B4">
        <f>IFERROR('Pivot(2)'!$B$4/VLOOKUP($A$4,'Seasonal Index'!$A$3:$C$27,2),"")</f>
        <v>1.0576923076923062</v>
      </c>
      <c r="C4">
        <f>IFERROR('Pivot(2)'!$C$4/VLOOKUP($A$4,'Seasonal Index'!$A$3:$C$27,3),"")</f>
        <v>1.9166666666666667</v>
      </c>
    </row>
    <row r="5" spans="1:3" x14ac:dyDescent="0.25">
      <c r="A5" t="str">
        <f>GetSelectedSeasonFromDate('Pivot(2)'!$A$5)</f>
        <v>Spring</v>
      </c>
      <c r="B5">
        <f>IFERROR('Pivot(2)'!$B$5/VLOOKUP($A$5,'Seasonal Index'!$A$3:$C$27,2),"")</f>
        <v>1.6836734693877577</v>
      </c>
      <c r="C5">
        <f>IFERROR('Pivot(2)'!$C$5/VLOOKUP($A$5,'Seasonal Index'!$A$3:$C$27,3),"")</f>
        <v>1.437499999999998</v>
      </c>
    </row>
    <row r="6" spans="1:3" x14ac:dyDescent="0.25">
      <c r="A6" t="str">
        <f>GetSelectedSeasonFromDate('Pivot(2)'!$A$6)</f>
        <v>Spring</v>
      </c>
      <c r="B6">
        <f>IFERROR('Pivot(2)'!$B$6/VLOOKUP($A$6,'Seasonal Index'!$A$3:$C$27,2),"")</f>
        <v>1.6836734693877577</v>
      </c>
      <c r="C6">
        <f>IFERROR('Pivot(2)'!$C$6/VLOOKUP($A$6,'Seasonal Index'!$A$3:$C$27,3),"")</f>
        <v>2.1562499999999969</v>
      </c>
    </row>
    <row r="7" spans="1:3" x14ac:dyDescent="0.25">
      <c r="A7" t="str">
        <f>GetSelectedSeasonFromDate('Pivot(2)'!$A$7)</f>
        <v>Spring</v>
      </c>
      <c r="B7">
        <f>IFERROR('Pivot(2)'!$B$7/VLOOKUP($A$7,'Seasonal Index'!$A$3:$C$27,2),"")</f>
        <v>2.5255102040816366</v>
      </c>
      <c r="C7">
        <f>IFERROR('Pivot(2)'!$C$7/VLOOKUP($A$7,'Seasonal Index'!$A$3:$C$27,3),"")</f>
        <v>2.1562499999999969</v>
      </c>
    </row>
    <row r="8" spans="1:3" x14ac:dyDescent="0.25">
      <c r="A8" t="str">
        <f>GetSelectedSeasonFromDate('Pivot(2)'!$A$8)</f>
        <v>Summer</v>
      </c>
      <c r="B8">
        <f>IFERROR('Pivot(2)'!$B$8/VLOOKUP($A$8,'Seasonal Index'!$A$3:$C$27,2),"")</f>
        <v>2.5255102040816366</v>
      </c>
      <c r="C8">
        <f>IFERROR('Pivot(2)'!$C$8/VLOOKUP($A$8,'Seasonal Index'!$A$3:$C$27,3),"")</f>
        <v>1.9166666666666667</v>
      </c>
    </row>
    <row r="9" spans="1:3" x14ac:dyDescent="0.25">
      <c r="A9" t="str">
        <f>GetSelectedSeasonFromDate('Pivot(2)'!$A$9)</f>
        <v>Summer</v>
      </c>
      <c r="B9">
        <f>IFERROR('Pivot(2)'!$B$9/VLOOKUP($A$9,'Seasonal Index'!$A$3:$C$27,2),"")</f>
        <v>1.6836734693877577</v>
      </c>
      <c r="C9">
        <f>IFERROR('Pivot(2)'!$C$9/VLOOKUP($A$9,'Seasonal Index'!$A$3:$C$27,3),"")</f>
        <v>1.9166666666666667</v>
      </c>
    </row>
    <row r="10" spans="1:3" x14ac:dyDescent="0.25">
      <c r="A10" t="str">
        <f>GetSelectedSeasonFromDate('Pivot(2)'!$A$10)</f>
        <v>Summer</v>
      </c>
      <c r="B10">
        <f>IFERROR('Pivot(2)'!$B$10/VLOOKUP($A$10,'Seasonal Index'!$A$3:$C$27,2),"")</f>
        <v>1.6836734693877577</v>
      </c>
      <c r="C10">
        <f>IFERROR('Pivot(2)'!$C$10/VLOOKUP($A$10,'Seasonal Index'!$A$3:$C$27,3),"")</f>
        <v>1.9166666666666667</v>
      </c>
    </row>
    <row r="11" spans="1:3" x14ac:dyDescent="0.25">
      <c r="A11" t="str">
        <f>GetSelectedSeasonFromDate('Pivot(2)'!$A$11)</f>
        <v>Fall</v>
      </c>
      <c r="B11">
        <f>IFERROR('Pivot(2)'!$B$11/VLOOKUP($A$11,'Seasonal Index'!$A$3:$C$27,2),"")</f>
        <v>2.9464285714285792</v>
      </c>
      <c r="C11">
        <f>IFERROR('Pivot(2)'!$C$11/VLOOKUP($A$11,'Seasonal Index'!$A$3:$C$27,3),"")</f>
        <v>1.9166666666666667</v>
      </c>
    </row>
    <row r="12" spans="1:3" x14ac:dyDescent="0.25">
      <c r="A12" t="str">
        <f>GetSelectedSeasonFromDate('Pivot(2)'!$A$12)</f>
        <v>Fall</v>
      </c>
      <c r="B12">
        <f>IFERROR('Pivot(2)'!$B$12/VLOOKUP($A$12,'Seasonal Index'!$A$3:$C$27,2),"")</f>
        <v>1.4732142857142896</v>
      </c>
      <c r="C12">
        <f>IFERROR('Pivot(2)'!$C$12/VLOOKUP($A$12,'Seasonal Index'!$A$3:$C$27,3),"")</f>
        <v>1.9166666666666667</v>
      </c>
    </row>
    <row r="13" spans="1:3" x14ac:dyDescent="0.25">
      <c r="A13" t="str">
        <f>GetSelectedSeasonFromDate('Pivot(2)'!$A$13)</f>
        <v>Fall</v>
      </c>
      <c r="B13">
        <f>IFERROR('Pivot(2)'!$B$13/VLOOKUP($A$13,'Seasonal Index'!$A$3:$C$27,2),"")</f>
        <v>1.4732142857142896</v>
      </c>
      <c r="C13">
        <f>IFERROR('Pivot(2)'!$C$13/VLOOKUP($A$13,'Seasonal Index'!$A$3:$C$27,3),"")</f>
        <v>0</v>
      </c>
    </row>
    <row r="14" spans="1:3" x14ac:dyDescent="0.25">
      <c r="A14" t="str">
        <f>GetSelectedSeasonFromDate('Pivot(2)'!$A$14)</f>
        <v>Winter</v>
      </c>
      <c r="B14">
        <f>IFERROR('Pivot(2)'!$B$14/VLOOKUP($A$14,'Seasonal Index'!$A$3:$C$27,2),"")</f>
        <v>3.1730769230769185</v>
      </c>
      <c r="C14">
        <f>IFERROR('Pivot(2)'!$C$14/VLOOKUP($A$14,'Seasonal Index'!$A$3:$C$27,3),"")</f>
        <v>0</v>
      </c>
    </row>
    <row r="15" spans="1:3" x14ac:dyDescent="0.25">
      <c r="A15" t="str">
        <f>GetSelectedSeasonFromDate('Pivot(2)'!$A$15)</f>
        <v>Winter</v>
      </c>
      <c r="B15">
        <f>IFERROR('Pivot(2)'!$B$15/VLOOKUP($A$15,'Seasonal Index'!$A$3:$C$27,2),"")</f>
        <v>1.0576923076923062</v>
      </c>
      <c r="C15">
        <f>IFERROR('Pivot(2)'!$C$15/VLOOKUP($A$15,'Seasonal Index'!$A$3:$C$27,3),"")</f>
        <v>0</v>
      </c>
    </row>
    <row r="16" spans="1:3" x14ac:dyDescent="0.25">
      <c r="A16" t="str">
        <f>GetSelectedSeasonFromDate('Pivot(2)'!$A$16)</f>
        <v>Winter</v>
      </c>
      <c r="B16">
        <f>IFERROR('Pivot(2)'!$B$16/VLOOKUP($A$16,'Seasonal Index'!$A$3:$C$27,2),"")</f>
        <v>1.0576923076923062</v>
      </c>
      <c r="C16">
        <f>IFERROR('Pivot(2)'!$C$16/VLOOKUP($A$16,'Seasonal Index'!$A$3:$C$27,3),"")</f>
        <v>0</v>
      </c>
    </row>
    <row r="17" spans="1:3" x14ac:dyDescent="0.25">
      <c r="A17" t="str">
        <f>GetSelectedSeasonFromDate('Pivot(2)'!$A$17)</f>
        <v>Spring</v>
      </c>
      <c r="B17">
        <f>IFERROR('Pivot(2)'!$B$17/VLOOKUP($A$17,'Seasonal Index'!$A$3:$C$27,2),"")</f>
        <v>1.6836734693877577</v>
      </c>
      <c r="C17">
        <f>IFERROR('Pivot(2)'!$C$17/VLOOKUP($A$17,'Seasonal Index'!$A$3:$C$27,3),"")</f>
        <v>0</v>
      </c>
    </row>
    <row r="18" spans="1:3" x14ac:dyDescent="0.25">
      <c r="A18" t="str">
        <f>GetSelectedSeasonFromDate('Pivot(2)'!$A$18)</f>
        <v>Spring</v>
      </c>
      <c r="B18">
        <f>IFERROR('Pivot(2)'!$B$18/VLOOKUP($A$18,'Seasonal Index'!$A$3:$C$27,2),"")</f>
        <v>1.6836734693877577</v>
      </c>
      <c r="C18">
        <f>IFERROR('Pivot(2)'!$C$18/VLOOKUP($A$18,'Seasonal Index'!$A$3:$C$27,3),"")</f>
        <v>0</v>
      </c>
    </row>
    <row r="19" spans="1:3" x14ac:dyDescent="0.25">
      <c r="A19" t="str">
        <f>GetSelectedSeasonFromDate('Pivot(2)'!$A$19)</f>
        <v>Spring</v>
      </c>
      <c r="B19">
        <f>IFERROR('Pivot(2)'!$B$19/VLOOKUP($A$19,'Seasonal Index'!$A$3:$C$27,2),"")</f>
        <v>2.5255102040816366</v>
      </c>
      <c r="C19">
        <f>IFERROR('Pivot(2)'!$C$19/VLOOKUP($A$19,'Seasonal Index'!$A$3:$C$27,3),"")</f>
        <v>0</v>
      </c>
    </row>
    <row r="20" spans="1:3" x14ac:dyDescent="0.25">
      <c r="A20" t="str">
        <f>GetSelectedSeasonFromDate('Pivot(2)'!$A$20)</f>
        <v>Summer</v>
      </c>
      <c r="B20">
        <f>IFERROR('Pivot(2)'!$B$20/VLOOKUP($A$20,'Seasonal Index'!$A$3:$C$27,2),"")</f>
        <v>2.5255102040816366</v>
      </c>
      <c r="C20">
        <f>IFERROR('Pivot(2)'!$C$20/VLOOKUP($A$20,'Seasonal Index'!$A$3:$C$27,3),"")</f>
        <v>0</v>
      </c>
    </row>
    <row r="21" spans="1:3" x14ac:dyDescent="0.25">
      <c r="A21" t="str">
        <f>GetSelectedSeasonFromDate('Pivot(2)'!$A$21)</f>
        <v>Summer</v>
      </c>
      <c r="B21">
        <f>IFERROR('Pivot(2)'!$B$21/VLOOKUP($A$21,'Seasonal Index'!$A$3:$C$27,2),"")</f>
        <v>1.6836734693877577</v>
      </c>
      <c r="C21">
        <f>IFERROR('Pivot(2)'!$C$21/VLOOKUP($A$21,'Seasonal Index'!$A$3:$C$27,3),"")</f>
        <v>0</v>
      </c>
    </row>
    <row r="22" spans="1:3" x14ac:dyDescent="0.25">
      <c r="A22" t="str">
        <f>GetSelectedSeasonFromDate('Pivot(2)'!$A$22)</f>
        <v>Summer</v>
      </c>
      <c r="B22">
        <f>IFERROR('Pivot(2)'!$B$22/VLOOKUP($A$22,'Seasonal Index'!$A$3:$C$27,2),"")</f>
        <v>1.6836734693877577</v>
      </c>
      <c r="C22">
        <f>IFERROR('Pivot(2)'!$C$22/VLOOKUP($A$22,'Seasonal Index'!$A$3:$C$27,3),"")</f>
        <v>0</v>
      </c>
    </row>
    <row r="23" spans="1:3" x14ac:dyDescent="0.25">
      <c r="A23" t="str">
        <f>GetSelectedSeasonFromDate('Pivot(2)'!$A$23)</f>
        <v>Fall</v>
      </c>
      <c r="B23">
        <f>IFERROR('Pivot(2)'!$B$23/VLOOKUP($A$23,'Seasonal Index'!$A$3:$C$27,2),"")</f>
        <v>2.9464285714285792</v>
      </c>
      <c r="C23">
        <f>IFERROR('Pivot(2)'!$C$23/VLOOKUP($A$23,'Seasonal Index'!$A$3:$C$27,3),"")</f>
        <v>0</v>
      </c>
    </row>
    <row r="24" spans="1:3" x14ac:dyDescent="0.25">
      <c r="A24" t="str">
        <f>GetSelectedSeasonFromDate('Pivot(2)'!$A$24)</f>
        <v>Fall</v>
      </c>
      <c r="B24">
        <f>IFERROR('Pivot(2)'!$B$24/VLOOKUP($A$24,'Seasonal Index'!$A$3:$C$27,2),"")</f>
        <v>1.4732142857142896</v>
      </c>
      <c r="C24">
        <f>IFERROR('Pivot(2)'!$C$24/VLOOKUP($A$24,'Seasonal Index'!$A$3:$C$27,3),"")</f>
        <v>0</v>
      </c>
    </row>
    <row r="25" spans="1:3" x14ac:dyDescent="0.25">
      <c r="A25" t="str">
        <f>GetSelectedSeasonFromDate('Pivot(2)'!$A$25)</f>
        <v>Fall</v>
      </c>
      <c r="B25">
        <f>IFERROR('Pivot(2)'!$B$25/VLOOKUP($A$25,'Seasonal Index'!$A$3:$C$27,2),"")</f>
        <v>1.4732142857142896</v>
      </c>
      <c r="C25">
        <f>IFERROR('Pivot(2)'!$C$25/VLOOKUP($A$25,'Seasonal Index'!$A$3:$C$27,3),"")</f>
        <v>0</v>
      </c>
    </row>
    <row r="26" spans="1:3" x14ac:dyDescent="0.25">
      <c r="A26" t="str">
        <f>GetSelectedSeasonFromDate('Pivot(2)'!$A$26)</f>
        <v>Winter</v>
      </c>
      <c r="B26">
        <f>IFERROR('Pivot(2)'!$B$26/VLOOKUP($A$26,'Seasonal Index'!$A$3:$C$27,2),"")</f>
        <v>5.2884615384615303</v>
      </c>
      <c r="C26">
        <f>IFERROR('Pivot(2)'!$C$26/VLOOKUP($A$26,'Seasonal Index'!$A$3:$C$27,3),"")</f>
        <v>0</v>
      </c>
    </row>
    <row r="27" spans="1:3" x14ac:dyDescent="0.25">
      <c r="A27" t="str">
        <f>GetSelectedSeasonFromDate('Pivot(2)'!$A$27)</f>
        <v>Winter</v>
      </c>
      <c r="B27">
        <f>IFERROR('Pivot(2)'!$B$27/VLOOKUP($A$27,'Seasonal Index'!$A$3:$C$27,2),"")</f>
        <v>1.0576923076923062</v>
      </c>
      <c r="C27">
        <f>IFERROR('Pivot(2)'!$C$27/VLOOKUP($A$27,'Seasonal Index'!$A$3:$C$27,3),"")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>
      <selection sqref="A1:A2"/>
    </sheetView>
  </sheetViews>
  <sheetFormatPr defaultRowHeight="15" x14ac:dyDescent="0.25"/>
  <cols>
    <col min="1" max="1" width="9.7109375" bestFit="1" customWidth="1"/>
  </cols>
  <sheetData>
    <row r="1" spans="1:6" x14ac:dyDescent="0.25">
      <c r="A1" s="24" t="e">
        <f>MIN($B$3:$E$28)</f>
        <v>#N/A</v>
      </c>
      <c r="B1" t="s">
        <v>33</v>
      </c>
      <c r="C1" t="s">
        <v>33</v>
      </c>
    </row>
    <row r="2" spans="1:6" x14ac:dyDescent="0.25">
      <c r="A2" s="24" t="e">
        <f>MAX($B$3:$E$28)</f>
        <v>#N/A</v>
      </c>
      <c r="B2" t="s">
        <v>34</v>
      </c>
      <c r="C2" t="s">
        <v>35</v>
      </c>
      <c r="D2" t="s">
        <v>16</v>
      </c>
      <c r="E2" t="s">
        <v>17</v>
      </c>
    </row>
    <row r="3" spans="1:6" x14ac:dyDescent="0.25">
      <c r="A3" s="15">
        <f>'Pivot(2)'!$A$3</f>
        <v>36161</v>
      </c>
      <c r="B3">
        <f>VLOOKUP(GetSelectedSeasonFromDate($A$3),'Seasonal Index'!$A$3:$C$27,2)*(Cover!$I$4*$A$3+Cover!$I$3)+0</f>
        <v>1.6636711917163383</v>
      </c>
      <c r="C3">
        <f>VLOOKUP(GetSelectedSeasonFromDate($A$3),'Seasonal Index'!$A$3:$C$27,3)*(Cover!$J$4*$A$3+Cover!$J$3)+0</f>
        <v>0.87650198511818933</v>
      </c>
      <c r="D3">
        <v>1</v>
      </c>
      <c r="E3">
        <v>1</v>
      </c>
      <c r="F3" t="e">
        <f>NA()</f>
        <v>#N/A</v>
      </c>
    </row>
    <row r="4" spans="1:6" x14ac:dyDescent="0.25">
      <c r="A4" s="15">
        <f>'Pivot(2)'!$A$4</f>
        <v>36192</v>
      </c>
      <c r="B4">
        <f>VLOOKUP(GetSelectedSeasonFromDate($A$4),'Seasonal Index'!$A$3:$C$27,2)*(Cover!$I$4*$A$4+Cover!$I$3)+0</f>
        <v>1.6797730104028916</v>
      </c>
      <c r="C4">
        <f>VLOOKUP(GetSelectedSeasonFromDate($A$4),'Seasonal Index'!$A$3:$C$27,3)*(Cover!$J$4*$A$4+Cover!$J$3)+0</f>
        <v>0.91456275385563834</v>
      </c>
      <c r="D4">
        <v>1</v>
      </c>
      <c r="E4">
        <v>1</v>
      </c>
      <c r="F4" t="e">
        <f>NA()</f>
        <v>#N/A</v>
      </c>
    </row>
    <row r="5" spans="1:6" x14ac:dyDescent="0.25">
      <c r="A5" s="15">
        <f>'Pivot(2)'!$A$5</f>
        <v>36220</v>
      </c>
      <c r="B5">
        <f>VLOOKUP(GetSelectedSeasonFromDate($A$5),'Seasonal Index'!$A$3:$C$27,2)*(Cover!$I$4*$A$5+Cover!$I$3)+0</f>
        <v>2.1287567394871232</v>
      </c>
      <c r="C5">
        <f>VLOOKUP(GetSelectedSeasonFromDate($A$5),'Seasonal Index'!$A$3:$C$27,3)*(Cover!$J$4*$A$5+Cover!$J$3)+0</f>
        <v>2.5305072597138301</v>
      </c>
      <c r="D5">
        <v>2</v>
      </c>
      <c r="E5">
        <v>2</v>
      </c>
      <c r="F5" t="e">
        <f>NA()</f>
        <v>#N/A</v>
      </c>
    </row>
    <row r="6" spans="1:6" x14ac:dyDescent="0.25">
      <c r="A6" s="15">
        <f>'Pivot(2)'!$A$6</f>
        <v>36251</v>
      </c>
      <c r="B6">
        <f>VLOOKUP(GetSelectedSeasonFromDate($A$6),'Seasonal Index'!$A$3:$C$27,2)*(Cover!$I$4*$A$6+Cover!$I$3)+0</f>
        <v>2.1489872296317669</v>
      </c>
      <c r="C6">
        <f>VLOOKUP(GetSelectedSeasonFromDate($A$6),'Seasonal Index'!$A$3:$C$27,3)*(Cover!$J$4*$A$6+Cover!$J$3)+0</f>
        <v>2.6320026430136947</v>
      </c>
      <c r="D6">
        <v>2</v>
      </c>
      <c r="E6">
        <v>3</v>
      </c>
      <c r="F6" t="e">
        <f>NA()</f>
        <v>#N/A</v>
      </c>
    </row>
    <row r="7" spans="1:6" x14ac:dyDescent="0.25">
      <c r="A7" s="15">
        <f>'Pivot(2)'!$A$7</f>
        <v>36281</v>
      </c>
      <c r="B7">
        <f>VLOOKUP(GetSelectedSeasonFromDate($A$7),'Seasonal Index'!$A$3:$C$27,2)*(Cover!$I$4*$A$7+Cover!$I$3)+0</f>
        <v>2.1685651233201306</v>
      </c>
      <c r="C7">
        <f>VLOOKUP(GetSelectedSeasonFromDate($A$7),'Seasonal Index'!$A$3:$C$27,3)*(Cover!$J$4*$A$7+Cover!$J$3)+0</f>
        <v>2.7302239816909721</v>
      </c>
      <c r="D7">
        <v>3</v>
      </c>
      <c r="E7">
        <v>3</v>
      </c>
      <c r="F7" t="e">
        <f>NA()</f>
        <v>#N/A</v>
      </c>
    </row>
    <row r="8" spans="1:6" x14ac:dyDescent="0.25">
      <c r="A8" s="15">
        <f>'Pivot(2)'!$A$8</f>
        <v>36312</v>
      </c>
      <c r="B8">
        <f>VLOOKUP(GetSelectedSeasonFromDate($A$8),'Seasonal Index'!$A$3:$C$27,2)*(Cover!$I$4*$A$8+Cover!$I$3)+0</f>
        <v>2.1887956134647704</v>
      </c>
      <c r="C8">
        <f>VLOOKUP(GetSelectedSeasonFromDate($A$8),'Seasonal Index'!$A$3:$C$27,3)*(Cover!$J$4*$A$8+Cover!$J$3)+0</f>
        <v>2.1237895237431097</v>
      </c>
      <c r="D8">
        <v>3</v>
      </c>
      <c r="E8">
        <v>2</v>
      </c>
      <c r="F8" t="e">
        <f>NA()</f>
        <v>#N/A</v>
      </c>
    </row>
    <row r="9" spans="1:6" x14ac:dyDescent="0.25">
      <c r="A9" s="15">
        <f>'Pivot(2)'!$A$9</f>
        <v>36342</v>
      </c>
      <c r="B9">
        <f>VLOOKUP(GetSelectedSeasonFromDate($A$9),'Seasonal Index'!$A$3:$C$27,2)*(Cover!$I$4*$A$9+Cover!$I$3)+0</f>
        <v>2.2083735071531345</v>
      </c>
      <c r="C9">
        <f>VLOOKUP(GetSelectedSeasonFromDate($A$9),'Seasonal Index'!$A$3:$C$27,3)*(Cover!$J$4*$A$9+Cover!$J$3)+0</f>
        <v>2.1974555277510825</v>
      </c>
      <c r="D9">
        <v>2</v>
      </c>
      <c r="E9">
        <v>2</v>
      </c>
      <c r="F9" t="e">
        <f>NA()</f>
        <v>#N/A</v>
      </c>
    </row>
    <row r="10" spans="1:6" x14ac:dyDescent="0.25">
      <c r="A10" s="15">
        <f>'Pivot(2)'!$A$10</f>
        <v>36373</v>
      </c>
      <c r="B10">
        <f>VLOOKUP(GetSelectedSeasonFromDate($A$10),'Seasonal Index'!$A$3:$C$27,2)*(Cover!$I$4*$A$10+Cover!$I$3)+0</f>
        <v>2.2286039972977782</v>
      </c>
      <c r="C10">
        <f>VLOOKUP(GetSelectedSeasonFromDate($A$10),'Seasonal Index'!$A$3:$C$27,3)*(Cover!$J$4*$A$10+Cover!$J$3)+0</f>
        <v>2.2735770652259659</v>
      </c>
      <c r="D10">
        <v>2</v>
      </c>
      <c r="E10">
        <v>2</v>
      </c>
      <c r="F10" t="e">
        <f>NA()</f>
        <v>#N/A</v>
      </c>
    </row>
    <row r="11" spans="1:6" x14ac:dyDescent="0.25">
      <c r="A11" s="15">
        <f>'Pivot(2)'!$A$11</f>
        <v>36404</v>
      </c>
      <c r="B11">
        <f>VLOOKUP(GetSelectedSeasonFromDate($A$11),'Seasonal Index'!$A$3:$C$27,2)*(Cover!$I$4*$A$11+Cover!$I$3)+0</f>
        <v>1.2850482785385233</v>
      </c>
      <c r="C11">
        <f>VLOOKUP(GetSelectedSeasonFromDate($A$11),'Seasonal Index'!$A$3:$C$27,3)*(Cover!$J$4*$A$11+Cover!$J$3)+0</f>
        <v>2.3496986027008639</v>
      </c>
      <c r="D11">
        <v>2</v>
      </c>
      <c r="E11">
        <v>2</v>
      </c>
      <c r="F11" t="e">
        <f>NA()</f>
        <v>#N/A</v>
      </c>
    </row>
    <row r="12" spans="1:6" x14ac:dyDescent="0.25">
      <c r="A12" s="15">
        <f>'Pivot(2)'!$A$12</f>
        <v>36434</v>
      </c>
      <c r="B12">
        <f>VLOOKUP(GetSelectedSeasonFromDate($A$12),'Seasonal Index'!$A$3:$C$27,2)*(Cover!$I$4*$A$12+Cover!$I$3)+0</f>
        <v>1.2962356463604456</v>
      </c>
      <c r="C12">
        <f>VLOOKUP(GetSelectedSeasonFromDate($A$12),'Seasonal Index'!$A$3:$C$27,3)*(Cover!$J$4*$A$12+Cover!$J$3)+0</f>
        <v>2.4233646067088221</v>
      </c>
      <c r="D12">
        <v>1</v>
      </c>
      <c r="E12">
        <v>2</v>
      </c>
      <c r="F12" t="e">
        <f>NA()</f>
        <v>#N/A</v>
      </c>
    </row>
    <row r="13" spans="1:6" x14ac:dyDescent="0.25">
      <c r="A13" s="15">
        <f>'Pivot(2)'!$A$13</f>
        <v>36465</v>
      </c>
      <c r="B13">
        <f>VLOOKUP(GetSelectedSeasonFromDate($A$13),'Seasonal Index'!$A$3:$C$27,2)*(Cover!$I$4*$A$13+Cover!$I$3)+0</f>
        <v>1.3077959264430992</v>
      </c>
      <c r="C13">
        <f>VLOOKUP(GetSelectedSeasonFromDate($A$13),'Seasonal Index'!$A$3:$C$27,3)*(Cover!$J$4*$A$13+Cover!$J$3)+0</f>
        <v>2.4994861441837202</v>
      </c>
      <c r="D13">
        <v>1</v>
      </c>
      <c r="E13" t="e">
        <f>NA()</f>
        <v>#N/A</v>
      </c>
      <c r="F13" t="e">
        <f>NA()</f>
        <v>#N/A</v>
      </c>
    </row>
    <row r="14" spans="1:6" x14ac:dyDescent="0.25">
      <c r="A14" s="15">
        <f>'Pivot(2)'!$A$14</f>
        <v>36495</v>
      </c>
      <c r="B14">
        <f>VLOOKUP(GetSelectedSeasonFromDate($A$14),'Seasonal Index'!$A$3:$C$27,2)*(Cover!$I$4*$A$14+Cover!$I$3)+0</f>
        <v>1.8371553027262875</v>
      </c>
      <c r="C14">
        <f>VLOOKUP(GetSelectedSeasonFromDate($A$14),'Seasonal Index'!$A$3:$C$27,3)*(Cover!$J$4*$A$14+Cover!$J$3)+0</f>
        <v>1.2865760740958392</v>
      </c>
      <c r="D14">
        <v>3</v>
      </c>
      <c r="E14" t="e">
        <f>NA()</f>
        <v>#N/A</v>
      </c>
      <c r="F14" t="e">
        <f>NA()</f>
        <v>#N/A</v>
      </c>
    </row>
    <row r="15" spans="1:6" x14ac:dyDescent="0.25">
      <c r="A15" s="15">
        <f>'Pivot(2)'!$A$15</f>
        <v>36526</v>
      </c>
      <c r="B15">
        <f>VLOOKUP(GetSelectedSeasonFromDate($A$15),'Seasonal Index'!$A$3:$C$27,2)*(Cover!$I$4*$A$15+Cover!$I$3)+0</f>
        <v>1.8532571214128373</v>
      </c>
      <c r="C15">
        <f>VLOOKUP(GetSelectedSeasonFromDate($A$15),'Seasonal Index'!$A$3:$C$27,3)*(Cover!$J$4*$A$15+Cover!$J$3)+0</f>
        <v>1.3246368428332882</v>
      </c>
      <c r="D15">
        <v>1</v>
      </c>
      <c r="E15" t="e">
        <f>NA()</f>
        <v>#N/A</v>
      </c>
      <c r="F15" t="e">
        <f>NA()</f>
        <v>#N/A</v>
      </c>
    </row>
    <row r="16" spans="1:6" x14ac:dyDescent="0.25">
      <c r="A16" s="15">
        <f>'Pivot(2)'!$A$16</f>
        <v>36557</v>
      </c>
      <c r="B16">
        <f>VLOOKUP(GetSelectedSeasonFromDate($A$16),'Seasonal Index'!$A$3:$C$27,2)*(Cover!$I$4*$A$16+Cover!$I$3)+0</f>
        <v>1.8693589400993906</v>
      </c>
      <c r="C16">
        <f>VLOOKUP(GetSelectedSeasonFromDate($A$16),'Seasonal Index'!$A$3:$C$27,3)*(Cover!$J$4*$A$16+Cover!$J$3)+0</f>
        <v>1.3626976115707299</v>
      </c>
      <c r="D16">
        <v>1</v>
      </c>
      <c r="E16" t="e">
        <f>NA()</f>
        <v>#N/A</v>
      </c>
      <c r="F16" t="e">
        <f>NA()</f>
        <v>#N/A</v>
      </c>
    </row>
    <row r="17" spans="1:6" x14ac:dyDescent="0.25">
      <c r="A17" s="15">
        <f>'Pivot(2)'!$A$17</f>
        <v>36586</v>
      </c>
      <c r="B17">
        <f>VLOOKUP(GetSelectedSeasonFromDate($A$17),'Seasonal Index'!$A$3:$C$27,2)*(Cover!$I$4*$A$17+Cover!$I$3)+0</f>
        <v>2.3676070424851572</v>
      </c>
      <c r="C17">
        <f>VLOOKUP(GetSelectedSeasonFromDate($A$17),'Seasonal Index'!$A$3:$C$27,3)*(Cover!$J$4*$A$17+Cover!$J$3)+0</f>
        <v>3.7288075915766625</v>
      </c>
      <c r="D17">
        <v>2</v>
      </c>
      <c r="E17" t="e">
        <f>NA()</f>
        <v>#N/A</v>
      </c>
      <c r="F17" t="e">
        <f>NA()</f>
        <v>#N/A</v>
      </c>
    </row>
    <row r="18" spans="1:6" x14ac:dyDescent="0.25">
      <c r="A18" s="15">
        <f>'Pivot(2)'!$A$18</f>
        <v>36617</v>
      </c>
      <c r="B18">
        <f>VLOOKUP(GetSelectedSeasonFromDate($A$18),'Seasonal Index'!$A$3:$C$27,2)*(Cover!$I$4*$A$18+Cover!$I$3)+0</f>
        <v>2.3878375326298014</v>
      </c>
      <c r="C18">
        <f>VLOOKUP(GetSelectedSeasonFromDate($A$18),'Seasonal Index'!$A$3:$C$27,3)*(Cover!$J$4*$A$18+Cover!$J$3)+0</f>
        <v>3.8303029748765267</v>
      </c>
      <c r="D18">
        <v>2</v>
      </c>
      <c r="E18" t="e">
        <f>NA()</f>
        <v>#N/A</v>
      </c>
      <c r="F18" t="e">
        <f>NA()</f>
        <v>#N/A</v>
      </c>
    </row>
    <row r="19" spans="1:6" x14ac:dyDescent="0.25">
      <c r="A19" s="15">
        <f>'Pivot(2)'!$A$19</f>
        <v>36647</v>
      </c>
      <c r="B19">
        <f>VLOOKUP(GetSelectedSeasonFromDate($A$19),'Seasonal Index'!$A$3:$C$27,2)*(Cover!$I$4*$A$19+Cover!$I$3)+0</f>
        <v>2.4074154263181651</v>
      </c>
      <c r="C19">
        <f>VLOOKUP(GetSelectedSeasonFromDate($A$19),'Seasonal Index'!$A$3:$C$27,3)*(Cover!$J$4*$A$19+Cover!$J$3)+0</f>
        <v>3.9285243135538046</v>
      </c>
      <c r="D19">
        <v>3</v>
      </c>
      <c r="E19" t="e">
        <f>NA()</f>
        <v>#N/A</v>
      </c>
      <c r="F19" t="e">
        <f>NA()</f>
        <v>#N/A</v>
      </c>
    </row>
    <row r="20" spans="1:6" x14ac:dyDescent="0.25">
      <c r="A20" s="15">
        <f>'Pivot(2)'!$A$20</f>
        <v>36678</v>
      </c>
      <c r="B20">
        <f>VLOOKUP(GetSelectedSeasonFromDate($A$20),'Seasonal Index'!$A$3:$C$27,2)*(Cover!$I$4*$A$20+Cover!$I$3)+0</f>
        <v>2.4276459164628048</v>
      </c>
      <c r="C20">
        <f>VLOOKUP(GetSelectedSeasonFromDate($A$20),'Seasonal Index'!$A$3:$C$27,3)*(Cover!$J$4*$A$20+Cover!$J$3)+0</f>
        <v>3.022514772640247</v>
      </c>
      <c r="D20">
        <v>3</v>
      </c>
      <c r="E20" t="e">
        <f>NA()</f>
        <v>#N/A</v>
      </c>
      <c r="F20" t="e">
        <f>NA()</f>
        <v>#N/A</v>
      </c>
    </row>
    <row r="21" spans="1:6" x14ac:dyDescent="0.25">
      <c r="A21" s="15">
        <f>'Pivot(2)'!$A$21</f>
        <v>36708</v>
      </c>
      <c r="B21">
        <f>VLOOKUP(GetSelectedSeasonFromDate($A$21),'Seasonal Index'!$A$3:$C$27,2)*(Cover!$I$4*$A$21+Cover!$I$3)+0</f>
        <v>2.447223810151169</v>
      </c>
      <c r="C21">
        <f>VLOOKUP(GetSelectedSeasonFromDate($A$21),'Seasonal Index'!$A$3:$C$27,3)*(Cover!$J$4*$A$21+Cover!$J$3)+0</f>
        <v>3.0961807766482052</v>
      </c>
      <c r="D21">
        <v>2</v>
      </c>
      <c r="E21" t="e">
        <f>NA()</f>
        <v>#N/A</v>
      </c>
      <c r="F21" t="e">
        <f>NA()</f>
        <v>#N/A</v>
      </c>
    </row>
    <row r="22" spans="1:6" x14ac:dyDescent="0.25">
      <c r="A22" s="15">
        <f>'Pivot(2)'!$A$22</f>
        <v>36739</v>
      </c>
      <c r="B22">
        <f>VLOOKUP(GetSelectedSeasonFromDate($A$22),'Seasonal Index'!$A$3:$C$27,2)*(Cover!$I$4*$A$22+Cover!$I$3)+0</f>
        <v>2.4674543002958127</v>
      </c>
      <c r="C22">
        <f>VLOOKUP(GetSelectedSeasonFromDate($A$22),'Seasonal Index'!$A$3:$C$27,3)*(Cover!$J$4*$A$22+Cover!$J$3)+0</f>
        <v>3.1723023141230886</v>
      </c>
      <c r="D22">
        <v>2</v>
      </c>
      <c r="E22" t="e">
        <f>NA()</f>
        <v>#N/A</v>
      </c>
      <c r="F22" t="e">
        <f>NA()</f>
        <v>#N/A</v>
      </c>
    </row>
    <row r="23" spans="1:6" x14ac:dyDescent="0.25">
      <c r="A23" s="15">
        <f>'Pivot(2)'!$A$23</f>
        <v>36770</v>
      </c>
      <c r="B23">
        <f>VLOOKUP(GetSelectedSeasonFromDate($A$23),'Seasonal Index'!$A$3:$C$27,2)*(Cover!$I$4*$A$23+Cover!$I$3)+0</f>
        <v>1.4215341659659715</v>
      </c>
      <c r="C23">
        <f>VLOOKUP(GetSelectedSeasonFromDate($A$23),'Seasonal Index'!$A$3:$C$27,3)*(Cover!$J$4*$A$23+Cover!$J$3)+0</f>
        <v>3.2484238515979866</v>
      </c>
      <c r="D23">
        <v>2</v>
      </c>
      <c r="E23" t="e">
        <f>NA()</f>
        <v>#N/A</v>
      </c>
      <c r="F23" t="e">
        <f>NA()</f>
        <v>#N/A</v>
      </c>
    </row>
    <row r="24" spans="1:6" x14ac:dyDescent="0.25">
      <c r="A24" s="15">
        <f>'Pivot(2)'!$A$24</f>
        <v>36800</v>
      </c>
      <c r="B24">
        <f>VLOOKUP(GetSelectedSeasonFromDate($A$24),'Seasonal Index'!$A$3:$C$27,2)*(Cover!$I$4*$A$24+Cover!$I$3)+0</f>
        <v>1.4327215337878936</v>
      </c>
      <c r="C24">
        <f>VLOOKUP(GetSelectedSeasonFromDate($A$24),'Seasonal Index'!$A$3:$C$27,3)*(Cover!$J$4*$A$24+Cover!$J$3)+0</f>
        <v>3.3220898556059448</v>
      </c>
      <c r="D24">
        <v>1</v>
      </c>
      <c r="E24" t="e">
        <f>NA()</f>
        <v>#N/A</v>
      </c>
      <c r="F24" t="e">
        <f>NA()</f>
        <v>#N/A</v>
      </c>
    </row>
    <row r="25" spans="1:6" x14ac:dyDescent="0.25">
      <c r="A25" s="15">
        <f>'Pivot(2)'!$A$25</f>
        <v>36831</v>
      </c>
      <c r="B25">
        <f>VLOOKUP(GetSelectedSeasonFromDate($A$25),'Seasonal Index'!$A$3:$C$27,2)*(Cover!$I$4*$A$25+Cover!$I$3)+0</f>
        <v>1.4442818138705473</v>
      </c>
      <c r="C25">
        <f>VLOOKUP(GetSelectedSeasonFromDate($A$25),'Seasonal Index'!$A$3:$C$27,3)*(Cover!$J$4*$A$25+Cover!$J$3)+0</f>
        <v>3.3982113930808429</v>
      </c>
      <c r="D25">
        <v>1</v>
      </c>
      <c r="E25" t="e">
        <f>NA()</f>
        <v>#N/A</v>
      </c>
      <c r="F25" t="e">
        <f>NA()</f>
        <v>#N/A</v>
      </c>
    </row>
    <row r="26" spans="1:6" x14ac:dyDescent="0.25">
      <c r="A26" s="15">
        <f>'Pivot(2)'!$A$26</f>
        <v>36861</v>
      </c>
      <c r="B26">
        <f>VLOOKUP(GetSelectedSeasonFromDate($A$26),'Seasonal Index'!$A$3:$C$27,2)*(Cover!$I$4*$A$26+Cover!$I$3)+0</f>
        <v>2.0272606459288052</v>
      </c>
      <c r="C26">
        <f>VLOOKUP(GetSelectedSeasonFromDate($A$26),'Seasonal Index'!$A$3:$C$27,3)*(Cover!$J$4*$A$26+Cover!$J$3)+0</f>
        <v>1.7359386985444005</v>
      </c>
      <c r="D26">
        <v>5</v>
      </c>
      <c r="E26" t="e">
        <f>NA()</f>
        <v>#N/A</v>
      </c>
      <c r="F26" t="e">
        <f>NA()</f>
        <v>#N/A</v>
      </c>
    </row>
    <row r="27" spans="1:6" x14ac:dyDescent="0.25">
      <c r="A27" s="15">
        <f>'Pivot(2)'!$A$27</f>
        <v>36892</v>
      </c>
      <c r="B27">
        <f>VLOOKUP(GetSelectedSeasonFromDate($A$27),'Seasonal Index'!$A$3:$C$27,2)*(Cover!$I$4*$A$27+Cover!$I$3)+0</f>
        <v>2.0433624646153552</v>
      </c>
      <c r="C27">
        <f>VLOOKUP(GetSelectedSeasonFromDate($A$27),'Seasonal Index'!$A$3:$C$27,3)*(Cover!$J$4*$A$27+Cover!$J$3)+0</f>
        <v>1.7739994672818495</v>
      </c>
      <c r="D27">
        <v>1</v>
      </c>
      <c r="E27" t="e">
        <f>NA()</f>
        <v>#N/A</v>
      </c>
      <c r="F27" t="e">
        <f>NA()</f>
        <v>#N/A</v>
      </c>
    </row>
    <row r="28" spans="1:6" x14ac:dyDescent="0.25">
      <c r="A28" s="15">
        <v>36982</v>
      </c>
      <c r="B28">
        <f>VLOOKUP(GetSelectedSeasonFromDate($A$28),'Seasonal Index'!$A$3:$C$27,2)*(Cover!$I$4*$A$28+Cover!$I$3)+0</f>
        <v>2.6260352391715558</v>
      </c>
      <c r="C28">
        <f>VLOOKUP(GetSelectedSeasonFromDate($A$28),'Seasonal Index'!$A$3:$C$27,3)*(Cover!$J$4*$A$28+Cover!$J$3)+0</f>
        <v>5.025329262116772</v>
      </c>
    </row>
    <row r="29" spans="1:6" x14ac:dyDescent="0.25">
      <c r="A29" s="15">
        <v>37073</v>
      </c>
      <c r="B29">
        <f>VLOOKUP(GetSelectedSeasonFromDate($A$29),'Seasonal Index'!$A$3:$C$27,2)*(Cover!$I$4*$A$29+Cover!$I$3)+0</f>
        <v>2.6854215166929229</v>
      </c>
      <c r="C29">
        <f>VLOOKUP(GetSelectedSeasonFromDate($A$29),'Seasonal Index'!$A$3:$C$27,3)*(Cover!$J$4*$A$29+Cover!$J$3)+0</f>
        <v>3.9924504920783885</v>
      </c>
    </row>
    <row r="30" spans="1:6" x14ac:dyDescent="0.25">
      <c r="A30" s="15">
        <v>37165</v>
      </c>
      <c r="B30">
        <f>VLOOKUP(GetSelectedSeasonFromDate($A$30),'Seasonal Index'!$A$3:$C$27,2)*(Cover!$I$4*$A$30+Cover!$I$3)+0</f>
        <v>1.5688345089546127</v>
      </c>
      <c r="C30">
        <f>VLOOKUP(GetSelectedSeasonFromDate($A$30),'Seasonal Index'!$A$3:$C$27,3)*(Cover!$J$4*$A$30+Cover!$J$3)+0</f>
        <v>4.2183595710361423</v>
      </c>
    </row>
    <row r="31" spans="1:6" x14ac:dyDescent="0.25">
      <c r="A31" s="15">
        <v>37257</v>
      </c>
      <c r="B31">
        <f>VLOOKUP(GetSelectedSeasonFromDate($A$31),'Seasonal Index'!$A$3:$C$27,2)*(Cover!$I$4*$A$31+Cover!$I$3)+0</f>
        <v>2.2329483943118573</v>
      </c>
      <c r="C31">
        <f>VLOOKUP(GetSelectedSeasonFromDate($A$31),'Seasonal Index'!$A$3:$C$27,3)*(Cover!$J$4*$A$31+Cover!$J$3)+0</f>
        <v>2.222134324996941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2</vt:i4>
      </vt:variant>
    </vt:vector>
  </HeadingPairs>
  <TitlesOfParts>
    <vt:vector size="10" baseType="lpstr">
      <vt:lpstr>Cover</vt:lpstr>
      <vt:lpstr>Data</vt:lpstr>
      <vt:lpstr>Pivot</vt:lpstr>
      <vt:lpstr>Pivot(2)</vt:lpstr>
      <vt:lpstr>Event Corrected</vt:lpstr>
      <vt:lpstr>Seasonal Index</vt:lpstr>
      <vt:lpstr>Seasonally Smoothed</vt:lpstr>
      <vt:lpstr>Forecast Model</vt:lpstr>
      <vt:lpstr>Chart1</vt:lpstr>
      <vt:lpstr>Results</vt:lpstr>
    </vt:vector>
  </TitlesOfParts>
  <Company>NMCI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seakintruth</dc:creator>
  <cp:lastModifiedBy>William Young</cp:lastModifiedBy>
  <cp:lastPrinted>2014-07-28T23:50:00Z</cp:lastPrinted>
  <dcterms:created xsi:type="dcterms:W3CDTF">2014-07-22T16:20:17Z</dcterms:created>
  <dcterms:modified xsi:type="dcterms:W3CDTF">2017-03-08T20:22:24Z</dcterms:modified>
</cp:coreProperties>
</file>